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Roles" sheetId="2" state="visible" r:id="rId4"/>
  </sheets>
  <definedNames>
    <definedName function="false" hidden="true" localSheetId="1" name="_xlnm._FilterDatabase" vbProcedure="false">'All Roles'!$A$1:$O$163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<sst xmlns="http://schemas.openxmlformats.org/spreadsheetml/2006/main" count="1954" uniqueCount="805">
  <si>
    <t xml:space="preserve">Job list — 162 open roles (researched Oct 28, 2026)</t>
  </si>
  <si>
    <t xml:space="preserve">How to use: go to "All Roles". Use the filter arrows in the header row to filter by Category, Location, Type or Fit.</t>
  </si>
  <si>
    <t xml:space="preserve">Red rows are due within 7 days; yellow within 3 weeks; struck-through gray = deadline passed.</t>
  </si>
  <si>
    <t xml:space="preserve">Set "My status" (dropdown) as you apply; applied rows turn green.</t>
  </si>
  <si>
    <t xml:space="preserve">Found via web search: open each link to confirm the posting is live before applying. Eligibility notes are in the Notes column.</t>
  </si>
  <si>
    <t xml:space="preserve">Category</t>
  </si>
  <si>
    <t xml:space="preserve">Roles</t>
  </si>
  <si>
    <t xml:space="preserve">Fit 4-5</t>
  </si>
  <si>
    <t xml:space="preserve">Deadline window</t>
  </si>
  <si>
    <t xml:space="preserve">My progress</t>
  </si>
  <si>
    <t xml:space="preserve">Count</t>
  </si>
  <si>
    <t xml:space="preserve">AI / research</t>
  </si>
  <si>
    <t xml:space="preserve">Due in 7 days</t>
  </si>
  <si>
    <t xml:space="preserve">To apply</t>
  </si>
  <si>
    <t xml:space="preserve">Biotech/pharma – BD / alliance / PM</t>
  </si>
  <si>
    <t xml:space="preserve">Due in 8-30 days</t>
  </si>
  <si>
    <t xml:space="preserve">Applied</t>
  </si>
  <si>
    <t xml:space="preserve">Biotech/pharma – R&amp;D / lab</t>
  </si>
  <si>
    <t xml:space="preserve">Due later</t>
  </si>
  <si>
    <t xml:space="preserve">Interview R1</t>
  </si>
  <si>
    <t xml:space="preserve">Biotech/pharma – regulatory</t>
  </si>
  <si>
    <t xml:space="preserve">Rolling / no deadline</t>
  </si>
  <si>
    <t xml:space="preserve">Offer</t>
  </si>
  <si>
    <t xml:space="preserve">Biotech/pharma – strategy / commercial</t>
  </si>
  <si>
    <t xml:space="preserve">Deadline passed</t>
  </si>
  <si>
    <t xml:space="preserve">Skip</t>
  </si>
  <si>
    <t xml:space="preserve">Clinical research / data</t>
  </si>
  <si>
    <t xml:space="preserve">Healthcare / life sciences consulting</t>
  </si>
  <si>
    <t xml:space="preserve">Hedge fund / equity research</t>
  </si>
  <si>
    <t xml:space="preserve">Investment banking</t>
  </si>
  <si>
    <t xml:space="preserve">Investor relations</t>
  </si>
  <si>
    <t xml:space="preserve">Management consulting</t>
  </si>
  <si>
    <t xml:space="preserve">Marketing / content / media</t>
  </si>
  <si>
    <t xml:space="preserve">Other</t>
  </si>
  <si>
    <t xml:space="preserve">Product / tech</t>
  </si>
  <si>
    <t xml:space="preserve">Venture capital / private markets</t>
  </si>
  <si>
    <t xml:space="preserve">Total</t>
  </si>
  <si>
    <t xml:space="preserve">Deadline</t>
  </si>
  <si>
    <t xml:space="preserve">Days left</t>
  </si>
  <si>
    <t xml:space="preserve">Company</t>
  </si>
  <si>
    <t xml:space="preserve">Role (click to open)</t>
  </si>
  <si>
    <t xml:space="preserve">Type</t>
  </si>
  <si>
    <t xml:space="preserve">Location</t>
  </si>
  <si>
    <t xml:space="preserve">Remote?</t>
  </si>
  <si>
    <t xml:space="preserve">Pay (as listed)</t>
  </si>
  <si>
    <t xml:space="preserve">Fit (1-5)</t>
  </si>
  <si>
    <t xml:space="preserve">Resume to use</t>
  </si>
  <si>
    <t xml:space="preserve">Why it fits you</t>
  </si>
  <si>
    <t xml:space="preserve">Notes / eligibility</t>
  </si>
  <si>
    <t xml:space="preserve">My status</t>
  </si>
  <si>
    <t xml:space="preserve">Date applied</t>
  </si>
  <si>
    <t xml:space="preserve">Analysis Group</t>
  </si>
  <si>
    <t xml:space="preserve">Associate - Health Care (HEOR, Epidemiology &amp; Market Access) (2027 Start Date)</t>
  </si>
  <si>
    <t xml:space="preserve">Full-time</t>
  </si>
  <si>
    <t xml:space="preserve">Boston, MA</t>
  </si>
  <si>
    <t xml:space="preserve">Unknown</t>
  </si>
  <si>
    <t xml:space="preserve">Not listed</t>
  </si>
  <si>
    <t xml:space="preserve">Consulting (BlueMatter)</t>
  </si>
  <si>
    <t xml:space="preserve">HEOR/market-access work uses her clinical-research data, R/Python and biotech MS; Associate is AG's master's-level entry.</t>
  </si>
  <si>
    <t xml:space="preserve">Posted 8 Oct 2026. A third-party guide lists the Health Care deadline as 28 Oct 2026 (today) with rolling review after. Associate level usually targets master's/PhD grads; check her MS qualifies. Pay not shown. Link is an aggregator, so apply via analysisgroup.com careers.</t>
  </si>
  <si>
    <t xml:space="preserve">Piper Sandler</t>
  </si>
  <si>
    <t xml:space="preserve">Campus Recruiting - 2027 Investment Banking Analyst - Healthcare</t>
  </si>
  <si>
    <t xml:space="preserve">New York, NY</t>
  </si>
  <si>
    <t xml:space="preserve">On-site</t>
  </si>
  <si>
    <t xml:space="preserve">$110,000</t>
  </si>
  <si>
    <t xml:space="preserve">Finance (Jefferies)</t>
  </si>
  <si>
    <t xml:space="preserve">NYC healthcare IB analyst seat for the class of 2027, a top-tier target in her top city.</t>
  </si>
  <si>
    <t xml:space="preserve">An aggregator shows it open until 10/28/2026 (today), posted about a week ago, so apply immediately or confirm on Piper's Workday. Class of 2027, no sponsorship.</t>
  </si>
  <si>
    <t xml:space="preserve">ClearView Healthcare Partners</t>
  </si>
  <si>
    <t xml:space="preserve">Life Sciences Strategy Analyst (September 2027 Start Date)</t>
  </si>
  <si>
    <t xml:space="preserve">Unknown (GMT deadline suggests London office)</t>
  </si>
  <si>
    <t xml:space="preserve">Life-sciences strategy analyst cohort built for life-sci grads; her Pfizer GRS and rare-disease work map directly.</t>
  </si>
  <si>
    <t xml:space="preserve">Eligibility: Life Sciences degree graduating Dec 2026–Aug 2027 (she fits). Cohort starts 13 Sep 2027; applications close 30 Oct 2026 11:59pm GMT; interviews from late Nov, rolling. Deadline from Greenhouse posting text in search results. Office not confirmed (likely London, which is Tier 2). The $92.5k pay seen online is for the US summer-start cohort (closed 15 Jul), so I left pay blank.</t>
  </si>
  <si>
    <t xml:space="preserve">Life Sciences Summer Analyst Intern (Summer 2027) - London</t>
  </si>
  <si>
    <t xml:space="preserve">Internship</t>
  </si>
  <si>
    <t xml:space="preserve">London, UK</t>
  </si>
  <si>
    <t xml:space="preserve">£37k annualised (employer-provided, per Glassdoor UK)</t>
  </si>
  <si>
    <t xml:space="preserve">London life sciences strategy internship (12 Jul-10 Sep 2027) built on forecasting and research work she has already done at Pfizer.</t>
  </si>
  <si>
    <t xml:space="preserve">STRETCH: wants grads from Dec 2027 to Aug 2028, and she graduates May 2027, so she's likely ineligible. Apply for the full-time London Analyst role instead. Deadline 30 Oct 2026, 11:59pm GMT, per the Glassdoor UK listing (not used as the link). Pay is in GBP. A UK internship needs a GAE-type visa. The link is the Greenhouse board root.</t>
  </si>
  <si>
    <t xml:space="preserve">Roivant Sciences</t>
  </si>
  <si>
    <t xml:space="preserve">Rotational Analyst Program (Class of 2027)</t>
  </si>
  <si>
    <t xml:space="preserve">$100,000/yr (per aggregators; not confirmed on Roivant's own posting)</t>
  </si>
  <si>
    <t xml:space="preserve">Two-year, four-rotation program across Roivant and its Vants that suits her mix of biotech science, VC database, financial modeling and rare-disease work, in NYC.</t>
  </si>
  <si>
    <t xml:space="preserve">Starts July 2027. Requires a 4-year US undergrad graduating Dec 2026–Jun 2027, GPA 3.5+, relocation to NYC; she meets all three. The Oct 30 expiry comes from the Harvard career-services copy. A Dartmouth copy of Greenhouse ID 8099164 showed an expiry of Sep 11, 2026, so the live requisition ID may differ. Check Roivant's Greenhouse board and apply today.</t>
  </si>
  <si>
    <t xml:space="preserve">Merck &amp; Co.</t>
  </si>
  <si>
    <t xml:space="preserve">2027 Future Talent Program – Regulatory Chemistry, Manufacturing and Controls (CMC) Intern</t>
  </si>
  <si>
    <t xml:space="preserve">Rahway, NJ</t>
  </si>
  <si>
    <t xml:space="preserve">General</t>
  </si>
  <si>
    <t xml:space="preserve">Regulatory submissions for biologics and small molecules suit her biotech MS and wet-lab background, in the NYC metro.</t>
  </si>
  <si>
    <t xml:space="preserve">An aggregator (bebee) lists it as open until 10/30/2026, so it is urgent. Returning-student requirement applies. Verify on jobs.merck.com.</t>
  </si>
  <si>
    <t xml:space="preserve">Roblox</t>
  </si>
  <si>
    <t xml:space="preserve">[2027] Associate Product Manager, Early Career</t>
  </si>
  <si>
    <t xml:space="preserve">San Mateo, CA</t>
  </si>
  <si>
    <t xml:space="preserve">Hybrid</t>
  </si>
  <si>
    <t xml:space="preserve">$143,000</t>
  </si>
  <si>
    <t xml:space="preserve">Product (Anthropic)</t>
  </si>
  <si>
    <t xml:space="preserve">21-month rotational APM in the Bay Area that explicitly accepts business degrees; her PM internship and AI-agent build make her a credible applicant.</t>
  </si>
  <si>
    <t xml:space="preserve">One listing says applications close Fri Oct 30 at 5pm PST (rolling review); Simplify shows 10/31/26. Apply by Oct 30 to be safe. Hybrid, 3 days on-site; no H1B sponsorship. Link is an aggregator; the official Roblox careers page didn't appear in results. Fairly sure it's open (2 days left). Soft gap: gaming/consumer domain.</t>
  </si>
  <si>
    <t xml:space="preserve">Blackstone</t>
  </si>
  <si>
    <t xml:space="preserve">2027 Blackstone Tactical Opportunities Summer Analyst (London)</t>
  </si>
  <si>
    <t xml:space="preserve">Top-brand PE seat in London (tier 2); flexible-capital deals include healthcare.</t>
  </si>
  <si>
    <t xml:space="preserve">Deadline 'Friday 30 October' per the listing; a guide also says the UK window ran Jun 15–Oct 30, 2026. Apply now. UK right-to-work and penultimate-year eligibility risks.</t>
  </si>
  <si>
    <t xml:space="preserve">2027 Blackstone Private Wealth Summer Analyst (London)</t>
  </si>
  <si>
    <t xml:space="preserve">Investor-facing alternatives distribution role at Blackstone, close to IR.</t>
  </si>
  <si>
    <t xml:space="preserve">Deadline taken from a guide saying the UK programme closes Oct 30, 2026; the role's own page wasn't seen. Work-authorization and eligibility risks. Moderate confidence.</t>
  </si>
  <si>
    <t xml:space="preserve">JPMorganChase</t>
  </si>
  <si>
    <t xml:space="preserve">2027 Marketing Leadership Development Program - Full-Time Analyst</t>
  </si>
  <si>
    <t xml:space="preserve">New York, NY (also Columbus, OH)</t>
  </si>
  <si>
    <t xml:space="preserve">2-year rotational marketing program in NYC; 85k-follower creator with paid brand deals plus analytics is exactly the MLDP profile</t>
  </si>
  <si>
    <t xml:space="preserve">Full-time track wants grads Dec 2026-Jun 2027, which she meets; 3.2 GPA min; no H1B. Deadline 10/31/26 from Opportunities for Youth and Simplify (Prosple marks a copy expired), so apply immediately. The $80k figure in results is for the summer-analyst version (grads Dec 2027-Jun 2028), so full-time pay is left blank. JPM is on the big-name list.</t>
  </si>
  <si>
    <t xml:space="preserve">Merck</t>
  </si>
  <si>
    <t xml:space="preserve">2027 Future Talent Program - Epidemiology and RWE Capabilities &amp; Analytics - Intern</t>
  </si>
  <si>
    <t xml:space="preserve">Upper Gwynedd, PA / Rahway, NJ / West Point, PA / Boston, MA</t>
  </si>
  <si>
    <t xml:space="preserve">$39,908 - $111,111 (annualized range)</t>
  </si>
  <si>
    <t xml:space="preserve">Real-world health data analytics at a big-name pharma, matching her Jefferson clinical data and R/SQL work.</t>
  </si>
  <si>
    <t xml:space="preserve">URGENT: the posting end date is 10/31/26 (from a Simplify listing). It is for grad students in epi/biostat/public health/data science, so her MS-stage status needs to qualify. Merck FTP interns are generally expected to be enrolled. Search jobs.merck.com for the official requisition.</t>
  </si>
  <si>
    <t xml:space="preserve">Mount Sinai Health System</t>
  </si>
  <si>
    <t xml:space="preserve">Clinical Research Coordinator I (Dr. Kontorovich's Lab) - Cardiovascular Research Institute</t>
  </si>
  <si>
    <t xml:space="preserve">Entry CRC role at an NYC academic medical center that builds on her Jefferson clinical research data analyst role.</t>
  </si>
  <si>
    <t xml:space="preserve">Posted 2026-09-26, valid through 2026-10-31 (listing data). It is an immediate-start hire, not a 2027 start, so there is a timing mismatch. Mount Sinai CRC I pay runs about $58k-74k, below the bar. The link is a ZipRecruiter mirror; find it on careers.mountsinai.org.</t>
  </si>
  <si>
    <t xml:space="preserve">Deloitte</t>
  </si>
  <si>
    <t xml:space="preserve">Consultative Offerings - Summer Scholar - Enterprise Strategy (Life Sciences &amp; Health Care option)</t>
  </si>
  <si>
    <t xml:space="preserve">$40-$53/hr (third-party estimate)</t>
  </si>
  <si>
    <t xml:space="preserve">NYC strategy internship where LSHC is a selectable industry; uses her cost-modeling and vendor benchmarking.</t>
  </si>
  <si>
    <t xml:space="preserve">Requires graduation by Spring/Summer 2028, so a May 2027 grad is a big risk; ask recruiting about the BS/MS timeline. GPA 3.3 required (3.5 preferred). The 1 Nov Strategy deadline is from a third-party guide, not the posting. Pay is a third-party estimate.</t>
  </si>
  <si>
    <t xml:space="preserve">Pfizer</t>
  </si>
  <si>
    <t xml:space="preserve">Summer 2027 Pfizer Global Supply Internship</t>
  </si>
  <si>
    <t xml:space="preserve">Unknown (Pfizer Global Supply sites)</t>
  </si>
  <si>
    <t xml:space="preserve">A sample project builds a regulatory change-control dashboard across major markets, close to her regulatory QA and analytics work.</t>
  </si>
  <si>
    <t xml:space="preserve">Xtalks lists a Nov 3 close, which conflicts with the Nov 8 portal date; I used the earlier one. Location may be a manufacturing site. Returning-student risk.</t>
  </si>
  <si>
    <t xml:space="preserve">J.P. Morgan</t>
  </si>
  <si>
    <t xml:space="preserve">2027 Asset Management Investments Full Time Analyst Program (Alternatives track incl. private equity, growth equity, private credit)</t>
  </si>
  <si>
    <t xml:space="preserve">Full-time 2027 start fits her May 2027 graduation, and the Alternatives track uses her DCF modeling and VC-tracking experience.</t>
  </si>
  <si>
    <t xml:space="preserve">Deadline 'Until 11/4/2026' comes from an aggregator copy (bebee); the official JPM careers URL wasn't found before the search budget ran out, so confirm on careers.jpmorgan.com. Pay not listed. Moderately confident it's open.</t>
  </si>
  <si>
    <t xml:space="preserve">Summer 2027 Research &amp; Development Internship (Pfizer Futures)</t>
  </si>
  <si>
    <t xml:space="preserve">New York, NY (also other R&amp;D sites)</t>
  </si>
  <si>
    <t xml:space="preserve">$16.50 - $22/hr (aggregator)</t>
  </si>
  <si>
    <t xml:space="preserve">She is returning to Pfizer; the R&amp;D units include non-lab clinical/translational roles that suit her regulatory data work.</t>
  </si>
  <si>
    <t xml:space="preserve">Pfizer's 2027 portal window is Oct 5 to Nov 8, 2026, per listings (the structured data says valid through Nov 26; plan for Nov 8). The R&amp;D track needs a 3.3 GPA. Open to undergraduates, so there is a return-to-school risk. Pay is below the bar, but Pfizer is a big name. The link is the Workday careers home; search for 'Summer 2027'.</t>
  </si>
  <si>
    <t xml:space="preserve">2027 Pfizer Futures Summer Internship (business tracks incl. commercial, regulatory)</t>
  </si>
  <si>
    <t xml:space="preserve">New York, NY (HQ) and other sites</t>
  </si>
  <si>
    <t xml:space="preserve">$26–29/hr</t>
  </si>
  <si>
    <t xml:space="preserve">Pfizer alumni get an inside track, and Futures is the stated feeder into the US Commercial Associate and other rotational programs.</t>
  </si>
  <si>
    <t xml:space="preserve">The Oct 5–Nov 8, 2026 window comes from the Harvard listing and other guides. The program is for undergraduates in a full-time university program, and she graduates in May 2027, so there is a returning-student risk. GPA 3.0 (3.3 for R&amp;D). No visa sponsorship. High confidence it is open.</t>
  </si>
  <si>
    <t xml:space="preserve">Summer 2027 Finance &amp; Global Business Services Internship</t>
  </si>
  <si>
    <t xml:space="preserve">Unknown (Pfizer US sites)</t>
  </si>
  <si>
    <t xml:space="preserve">Covers FP&amp;A, investor relations, procurement and business transformation, which suit her DCF and 3-statement skills plus her Pfizer history.</t>
  </si>
  <si>
    <t xml:space="preserve">Applied through the Pfizer Futures portal, so the deadline is the Nov 8 portal close (not confirmed for this track). Aggregator link; location not shown. Same returning-student risk as Pfizer Futures.</t>
  </si>
  <si>
    <t xml:space="preserve">Johnson &amp; Johnson Innovative Medicine</t>
  </si>
  <si>
    <t xml:space="preserve">2027 GD (U.S.) Summer Intern – Global Development</t>
  </si>
  <si>
    <t xml:space="preserve">Titusville / Raritan, NJ or Spring House, PA</t>
  </si>
  <si>
    <t xml:space="preserve">$23.50–52.50/hr</t>
  </si>
  <si>
    <t xml:space="preserve">Clinical trial management, regulatory submissions and integrated data analytics fit her clinical research data analyst and regulatory background.</t>
  </si>
  <si>
    <t xml:space="preserve">Official J&amp;J posting, posted Oct 12, 2026, anticipated to close Nov 9, 2026 (may be extended). Runs about May 24–Aug 13, 2027; 3 days on-site, 2 remote. Eligibility details not seen; possible returning-student requirement. High confidence it is open.</t>
  </si>
  <si>
    <t xml:space="preserve">Consultative Offerings - Summer Scholar - Functional &amp; Operations Strategy (May 2027)</t>
  </si>
  <si>
    <t xml:space="preserve">Unknown (US, multiple)</t>
  </si>
  <si>
    <t xml:space="preserve">about $50/hr (third-party estimate)</t>
  </si>
  <si>
    <t xml:space="preserve">Big-name strategy internship with a later deadline than the other Summer Scholar tracks.</t>
  </si>
  <si>
    <t xml:space="preserve">Same graduation-by-2028 eligibility risk. Deadline is Prosple's 'apply by' date. Link is Prosple; apply via apply.deloitte.com. Not life-sciences specific.</t>
  </si>
  <si>
    <t xml:space="preserve">Dow Jones</t>
  </si>
  <si>
    <t xml:space="preserve">Summer 2027 Internship Program - Commercial Strategy Intern</t>
  </si>
  <si>
    <t xml:space="preserve">$28/hr</t>
  </si>
  <si>
    <t xml:space="preserve">Media-company strategy internship in NYC; fits her media/creator background plus analytics</t>
  </si>
  <si>
    <t xml:space="preserve">Deadline 11/13/26 from postings (some copies typo it as 2027). Pay is under the bar. Runs Jun 7-Aug 13, 2027, in office. Eligibility window not shown; likely continuing students.</t>
  </si>
  <si>
    <t xml:space="preserve">Summer 2027 Internship Program - Business &amp; Product Strategy Intern</t>
  </si>
  <si>
    <t xml:space="preserve">Business/product strategy at WSJ's parent; her BioBridge platform-building is relevant</t>
  </si>
  <si>
    <t xml:space="preserve">Same program terms as the other Dow Jones interns: 11/13/26 deadline, $28/hr (under the bar). No official dowjones.jobs URL was seen for this track, so the link is a job board; search the title on dowjones.jobs.</t>
  </si>
  <si>
    <t xml:space="preserve">Summer 2027 Internship Program - Trade Marketing and Content Intern</t>
  </si>
  <si>
    <t xml:space="preserve">Content-marketing internship where her 85k-follower content portfolio is direct proof of skill</t>
  </si>
  <si>
    <t xml:space="preserve">Deadline 11/13/26; pay is under the bar; eligibility window not shown. Built In link; confirm on dowjones.jobs.</t>
  </si>
  <si>
    <t xml:space="preserve">Veeva Systems (Crossix)</t>
  </si>
  <si>
    <t xml:space="preserve">Marketing Analytics - Client Services Associate - July 2027 Start Date - ADP</t>
  </si>
  <si>
    <t xml:space="preserve">$82,500 base</t>
  </si>
  <si>
    <t xml:space="preserve">Client-facing health-data analytics role in NYC that uses her communication strengths (85k-follower creator) plus analytics.</t>
  </si>
  <si>
    <t xml:space="preserve">Below the pay bar. The 2026-11-13 date is the expiry on UVA's career-site listing, not Veeva's page. For 0-2 years of post-grad experience.</t>
  </si>
  <si>
    <t xml:space="preserve">Fidelity International</t>
  </si>
  <si>
    <t xml:space="preserve">Equity Research Graduate Programme 2027 - London</t>
  </si>
  <si>
    <t xml:space="preserve">Buy-side fundamental research graduate scheme. Her healthcare-sector depth and financial modeling set her apart from generalist applicants.</t>
  </si>
  <si>
    <t xml:space="preserve">Deadline is 15 Nov 2026, 11:55pm GMT, per Bright Network, HeySuccess and TargetJobs. Reviews are rolling, a ~40 min online assessment comes first, and assessment centres run Nov-Dec. VISA: sponsorship not stated, so confirm UK right-to-work rules. Pay is in GBP and not listed. Location set to Hybrid as an assumption; no source states the work model, so confirm it. Fairly sure it's open.</t>
  </si>
  <si>
    <t xml:space="preserve">Pfizer Statistics Summer Internship - 2027</t>
  </si>
  <si>
    <t xml:space="preserve">New York, NY / Andover, MA</t>
  </si>
  <si>
    <t xml:space="preserve">Clinical statistics internship at her former employer in NYC, using her R/Python skills.</t>
  </si>
  <si>
    <t xml:space="preserve">Stretch: it is for graduate students with at least 1 year of graduate study done by June 2027, and it likely prefers statistics majors; her accelerated MS may or may not count. The 2026-11-17 deadline is the listing's validThrough date, not stated in the text. The link is a job-board mirror.</t>
  </si>
  <si>
    <t xml:space="preserve">Analyst Intern - Health Care (HEOR, Epidemiology &amp; Market Access) - London (2027 Start Date)</t>
  </si>
  <si>
    <t xml:space="preserve">HEOR internship that fits her clinical data analyst background, in a Tier-2 city.</t>
  </si>
  <si>
    <t xml:space="preserve">Posted 18 Oct 2026; listing valid until 17 Nov 2026 (used as deadline). Eligibility and class year unknown; likely for continuing students. Link is an aggregator, so apply on analysisgroup.com.</t>
  </si>
  <si>
    <t xml:space="preserve">ZS</t>
  </si>
  <si>
    <t xml:space="preserve">Decision Analytics Associate Intern - London 2027</t>
  </si>
  <si>
    <t xml:space="preserve">ZS pharma analytics internship in a Tier-2 city with a near-term window.</t>
  </si>
  <si>
    <t xml:space="preserve">Posted 19 Oct 2026; the 'valid through' date is 20 Nov 2026, which I used as the deadline. Requires entering the second-to-last year of a bachelor's or master's, so she is likely ineligible. UK work authorization not checked.</t>
  </si>
  <si>
    <t xml:space="preserve">Estée Lauder Companies</t>
  </si>
  <si>
    <t xml:space="preserve">Lauder Summer 2027 Intern, Marketing (MAC Cosmetics)</t>
  </si>
  <si>
    <t xml:space="preserve">$25.00-$33.00/hr</t>
  </si>
  <si>
    <t xml:space="preserve">Prestige-beauty marketing internship in NYC where her creator and brand-deal experience stands out</t>
  </si>
  <si>
    <t xml:space="preserve">Requires a current junior (rising senior) finishing junior year by June 2027, so eligibility is a real risk. The 11/22/26 date is the listing expiry on a university career board. Extern said ELC postings had dropped off the site by 10/10, so verify on careers.elcompanies.com.</t>
  </si>
  <si>
    <t xml:space="preserve">Bristol Myers Squibb</t>
  </si>
  <si>
    <t xml:space="preserve">Commercialization Intern (Summer 2027)</t>
  </si>
  <si>
    <t xml:space="preserve">Princeton, NJ</t>
  </si>
  <si>
    <t xml:space="preserve">$26/hr</t>
  </si>
  <si>
    <t xml:space="preserve">Placements across Market Access, marketing and Commercialization AI Strategy &amp; Analytics fit her AI-agent and analytics background.</t>
  </si>
  <si>
    <t xml:space="preserve">Undergraduate program running Jun 7–Aug 13, 2027; returning-student risk. Deadline and pay come from the ASU career-services mirror (recruiting began Oct 19); official BMS Workday link not found. Medium-high confidence it is open.</t>
  </si>
  <si>
    <t xml:space="preserve">Columbia University Irving Medical Center</t>
  </si>
  <si>
    <t xml:space="preserve">Clinical Research Coordinator I - Maternal Fetal Medicine (OB/GYN)</t>
  </si>
  <si>
    <t xml:space="preserve">Columbia CRC I in NYC that builds on her clinical research data analyst experience.</t>
  </si>
  <si>
    <t xml:space="preserve">Opened 2026-09-03, valid through 2026-12-03 (listing data). It prefers 2+ years of clinical research experience and Spanish/English (preferred, not required). Below the pay bar. Immediate hire.</t>
  </si>
  <si>
    <t xml:space="preserve">2027 Summer Intern – Global Procurement</t>
  </si>
  <si>
    <t xml:space="preserve">Princeton / Lawrenceville or New Brunswick, NJ (or Tampa, FL)</t>
  </si>
  <si>
    <t xml:space="preserve">Category strategy and vendor work map to her Pfizer vendor benchmarking and cost modeling.</t>
  </si>
  <si>
    <t xml:space="preserve">Stretch: procurement. The Dec 7 expiry is from a university mirror. 10-week undergraduate program; returning-student risk.</t>
  </si>
  <si>
    <t xml:space="preserve">Sanofi</t>
  </si>
  <si>
    <t xml:space="preserve">2027 Summer Internship Opportunities – Cambridge, MA</t>
  </si>
  <si>
    <t xml:space="preserve">Cambridge, MA</t>
  </si>
  <si>
    <t xml:space="preserve">$27–60/hr</t>
  </si>
  <si>
    <t xml:space="preserve">Market analysis, competitive assessment and demand forecasting for launches, in Boston, a tier-2 city for her.</t>
  </si>
  <si>
    <t xml:space="preserve">Official Sanofi posting; posted Sep 11, closes Dec 11, 2026. This is an umbrella requisition, so the track varies. Eligibility on this one was not seen; Sanofi's Morristown posts ask for 2028/2029 grads, so the same restriction may apply.</t>
  </si>
  <si>
    <t xml:space="preserve">2027 Summer Intern – Commercial Graduate Program Associate, General Medicines</t>
  </si>
  <si>
    <t xml:space="preserve">Morristown, NJ</t>
  </si>
  <si>
    <t xml:space="preserve">$32–60/hr</t>
  </si>
  <si>
    <t xml:space="preserve">Pricing and reimbursement, brand strategy and market research in the NYC metro; welcomes analytics and life-science majors.</t>
  </si>
  <si>
    <t xml:space="preserve">Stretch: the posting asks for students graduating in 2028 or 2029, and she finishes in May 2027. Closes Dec 11, 2026. 10–12 weeks from June 2027. Official posting.</t>
  </si>
  <si>
    <t xml:space="preserve">2027 Summer Intern – Commercial Graduate Program Associate, Vaccines</t>
  </si>
  <si>
    <t xml:space="preserve">Rotations in Vaccine Commercial Strategy, Market Access &amp; Pricing or Public Health in the NYC metro.</t>
  </si>
  <si>
    <t xml:space="preserve">Same 2028/2029 graduation requirement as the General Medicines role, so it is a stretch. The Dec 11 close is assumed to match the sibling Morristown posting. Pay not confirmed for this requisition. BioSpace mirror.</t>
  </si>
  <si>
    <t xml:space="preserve">Google</t>
  </si>
  <si>
    <t xml:space="preserve">Business Intern, 2027 (English)</t>
  </si>
  <si>
    <t xml:space="preserve">US (location not shown in results)</t>
  </si>
  <si>
    <t xml:space="preserve">Google's non-technical business internship (BOLD-style track); a good fit for her analytics and creator background</t>
  </si>
  <si>
    <t xml:space="preserve">Requires being in the penultimate year of a BS/MS. She graduates May 2027, so eligibility is a real risk unless her MS year counts. The window is 'anticipated open until Dec 31' and may close early. Location wasn't in the snippet.</t>
  </si>
  <si>
    <t xml:space="preserve">New York Life</t>
  </si>
  <si>
    <t xml:space="preserve">2027 Business Strategy &amp; Operations Summer Internship</t>
  </si>
  <si>
    <t xml:space="preserve">$27/hr</t>
  </si>
  <si>
    <t xml:space="preserve">NYC strategy &amp; ops internship with a real deadline; her financial modeling and project-management background fit</t>
  </si>
  <si>
    <t xml:space="preserve">Requires grads Dec 2027-May 2030, a return-to-school risk. Pay is under the $30 bar. The 12/31/26 deadline is from the posting (Built In copy); interview notices by end of January.</t>
  </si>
  <si>
    <t xml:space="preserve">Evercore</t>
  </si>
  <si>
    <t xml:space="preserve">2027 Capital Markets Advisory: Equity Capital Markets Full Time Analyst Program</t>
  </si>
  <si>
    <t xml:space="preserve">$120,000</t>
  </si>
  <si>
    <t xml:space="preserve">Elite-boutique NYC full-time seat for class of 2027; ECM is very active in biotech IPOs and follow-ons.</t>
  </si>
  <si>
    <t xml:space="preserve">Not healthcare-specific. 31 Dec 2026 is a tracker's close date for Evercore's US 2027 Full-Time Analyst Program, not the posting itself. Link is an aggregator; verify on evercore.tal.net. The Menlo Park Healthcare program is a 2028-grad summer role, so I didn't list it.</t>
  </si>
  <si>
    <t xml:space="preserve">2027 Capital Markets Advisory: Private Capital Markets / Credit Ratings Advisory Full Time Analyst</t>
  </si>
  <si>
    <t xml:space="preserve">$120,000 + discretionary bonus</t>
  </si>
  <si>
    <t xml:space="preserve">Another open Evercore class-of-2027 analyst seat; private capital markets connects to her VC funding tracking.</t>
  </si>
  <si>
    <t xml:space="preserve">For undergrad seniors in the class of 2027. Deadline is the tracker's close date for the US FT program. Not healthcare-specific. Aggregator link.</t>
  </si>
  <si>
    <t xml:space="preserve">L.E.K. Consulting</t>
  </si>
  <si>
    <t xml:space="preserve">London Office - Summer Associate 2027</t>
  </si>
  <si>
    <t xml:space="preserve">L.E.K. London has a large life sciences practice. Her Pfizer and rare-disease analysis work suits its pharma strategy cases.</t>
  </si>
  <si>
    <t xml:space="preserve">STRETCH: open to penultimate-year students, and she'll have finished her degree by summer 2027, so she may be ineligible. Ask whether BS/MS students count. Deadline is 3 Jan 2027, 23:55, with no rolling review. L.E.K. allows one global office application per year, so this would use up a US application. A UK internship needs a visa, likely a Government Authorised Exchange (GAE) sponsor. Pay is in GBP and not listed. The link is an aggregator; apply on lek.com careers. The London entry-level Life Sciences Associate 2027 role closed 25 Oct 2026.</t>
  </si>
  <si>
    <t xml:space="preserve">Global Market Access Summer Associate (Summer 2027)</t>
  </si>
  <si>
    <t xml:space="preserve">Raritan, NJ</t>
  </si>
  <si>
    <t xml:space="preserve">Remote</t>
  </si>
  <si>
    <t xml:space="preserve">$34–52.50/hr</t>
  </si>
  <si>
    <t xml:space="preserve">Pricing, health economics and market-access analytics work fits her analytics minor, cost modeling and SQL/R skills.</t>
  </si>
  <si>
    <t xml:space="preserve">Program is for students pursuing advanced degrees; her BS/MS should qualify, but confirm. Posting says it is anticipated to close Jan 8, 2027. 12 weeks, May–Aug 2027; remote with a couple of visits to Raritan. A third-party guide claims a Jan 1 close, so treat Jan 8 as the outer limit.</t>
  </si>
  <si>
    <t xml:space="preserve">Jefferies</t>
  </si>
  <si>
    <t xml:space="preserve">2027 Equity Research Analyst Programme - London</t>
  </si>
  <si>
    <t xml:space="preserve">Jefferies' healthcare research franchise is strong in Europe, and her biotech science, VC database and DCF skills suit healthcare coverage.</t>
  </si>
  <si>
    <t xml:space="preserve">The listing (opp ID 1936) is on Jefferies' tal.net campus board. Open/close dates of 31 Aug 2026 and 31 Jan 2027 come from the-trackr UK Finance Tracker. Recruiting is rolling, so apply early. One application per season. VISA: UK sponsorship isn't confirmed in the results, so check. Pay is in GBP and not listed. The link is the campus job board, not the exact posting.</t>
  </si>
  <si>
    <t xml:space="preserve">Kleiner Perkins</t>
  </si>
  <si>
    <t xml:space="preserve">2027 Kleiner Perkins Engineering Fellow</t>
  </si>
  <si>
    <t xml:space="preserve">San Francisco Bay Area</t>
  </si>
  <si>
    <t xml:space="preserve">Summer at a KP portfolio startup plus a founder network; her AI-agent building and Python make a stretch case.</t>
  </si>
  <si>
    <t xml:space="preserve">Deadline Jan 31, 2027, 11:59pm PST, per the Ashby listing, with rolling review. A stretch because the track is for software engineers. The Design track's Harvard listing shows a Nov 3, 2026 expiry, which conflicts. Summer-after-graduation eligibility not confirmed. No Product Fellow track found for 2027.</t>
  </si>
  <si>
    <t xml:space="preserve">Rolling</t>
  </si>
  <si>
    <t xml:space="preserve">Mercor</t>
  </si>
  <si>
    <t xml:space="preserve">Strategic Project Associate</t>
  </si>
  <si>
    <t xml:space="preserve">San Francisco, CA (or NYC/London)</t>
  </si>
  <si>
    <t xml:space="preserve">$120k base + equity</t>
  </si>
  <si>
    <t xml:space="preserve">Runs $10M+ data projects for AI labs; her paid work with OpenAI/Google/Anthropic/AWS plus her AI-agent build fits directly</t>
  </si>
  <si>
    <t xml:space="preserve">Glassdoor copy targets Dec '26 or May/Jun '27 grads (some older copies say '25/'26). Simplify updated it 10/8/26, so it looks actively recruited. Five days a week in office. Fairly confident it's open.</t>
  </si>
  <si>
    <t xml:space="preserve">IQVIA</t>
  </si>
  <si>
    <t xml:space="preserve">Associate Consultant, Market Access Strategy Consulting (July 2027 start)</t>
  </si>
  <si>
    <t xml:space="preserve">San Francisco, CA / Boston, MA</t>
  </si>
  <si>
    <t xml:space="preserve">$65,400 - $163,600 (aggregator-listed)</t>
  </si>
  <si>
    <t xml:space="preserve">Big-data pharma market-access analytics in SF, a direct fit for her SQL/Python, Pfizer cost modeling and rare-disease work.</t>
  </si>
  <si>
    <t xml:space="preserve">The 'Start Date: July 2027' field came from a job-board mirror of the same requisition; IQVIA's own page lists it as office-based in Boston/SF. Pay band is from aggregators, not verified. No deadline found. Fairly confident it is open.</t>
  </si>
  <si>
    <t xml:space="preserve">Guidehouse</t>
  </si>
  <si>
    <t xml:space="preserve">Consultant - Life Sciences Advisory, Health Segment - Campus 2027</t>
  </si>
  <si>
    <t xml:space="preserve">$81,000-$135,000 + discretionary bonus</t>
  </si>
  <si>
    <t xml:space="preserve">Campus-hire consultant level aimed at master's grads finishing by summer 2027; her BS/MS fits the level above analyst.</t>
  </si>
  <si>
    <t xml:space="preserve">For grad students with a master's expected by summer 2027 (her MS is May 2027). F-1/J-1 excluded. Link is an aggregator; find the same title on guidehouse.wd1.myworkdayjobs.com. No deadline found. Campus 2027 postings looked active (sister Analyst req posted about 21 days ago). Midpoint pay meets the bar.</t>
  </si>
  <si>
    <t xml:space="preserve">2027 Investment Banking Analyst - Healthcare Biotech</t>
  </si>
  <si>
    <t xml:space="preserve">San Francisco, CA</t>
  </si>
  <si>
    <t xml:space="preserve">Class-of-2027 biotech IB analyst in Tier-1 SF; her DCF/3-statement skills and biotech VC database are directly relevant.</t>
  </si>
  <si>
    <t xml:space="preserve">Asks for May/June 2027 grads (she fits). Starts June 2027 with Minneapolis training. No sponsorship. No deadline found; a sister Piper req expires 23 Dec 2026. Link is an aggregator; search the title on pipersandler.wd501.myworkdayjobs.com.</t>
  </si>
  <si>
    <t xml:space="preserve">Global Regulatory Sciences Rotational Program (cohort starting Summer 2027)</t>
  </si>
  <si>
    <t xml:space="preserve">Unknown (Pfizer GRS; she interned with GRS in NYC)</t>
  </si>
  <si>
    <t xml:space="preserve">A two-year regulatory rotational program in the same Global Regulatory Sciences organization where she built an AI agent for regulatory QA in summer 2026.</t>
  </si>
  <si>
    <t xml:space="preserve">Pfizer's early-careers page says the next cohort begins Summer 2027, but I found no application dates or eligibility details. Deadline is unknown, so it is marked Rolling. Medium confidence that it is open. She should also ask her 2026 GRS manager or recruiter directly.</t>
  </si>
  <si>
    <t xml:space="preserve">2027 Future Talent Program – Global Regulatory Affairs &amp; Compliance US Subsidiary Intern (Drug Shortages &amp; Support Functions)</t>
  </si>
  <si>
    <t xml:space="preserve">Regulatory intelligence and strategy work in the NYC metro, a direct continuation of her Pfizer regulatory internship.</t>
  </si>
  <si>
    <t xml:space="preserve">Posted Sep 8, 2026 (aggregator); no close date seen, and Merck postings stay up until a candidate pool is identified, so apply soon. Merck's program requires returning to school after the internship; her BS/MS may or may not count. Other 2027 Merck postings show about $39k–111k annualized, unconfirmed for this role, so pay is left blank. Verify on jobs.merck.com.</t>
  </si>
  <si>
    <t xml:space="preserve">Solace (Solace Health)</t>
  </si>
  <si>
    <t xml:space="preserve">Influencer Marketing Associate (College Grad 2027)</t>
  </si>
  <si>
    <t xml:space="preserve">Redwood City, CA</t>
  </si>
  <si>
    <t xml:space="preserve">Health-tech creator marketing role for 2027 grads; her 85k-follower science channel and paid brand deals are exactly the creator-side expertise they want.</t>
  </si>
  <si>
    <t xml:space="preserve">Posted ~Aug 25, 2026 (Menlo VC board and netinfluencer); no deadline seen, so it may fill on a rolling basis. Pay not listed (may be under $100k; startup, Series C). Healthcare angle means handling patient stories and disclosures. Link is Menlo Ventures' job board, not Solace's own ATS. Moderately sure it's still open.</t>
  </si>
  <si>
    <t xml:space="preserve">Candid Health</t>
  </si>
  <si>
    <t xml:space="preserve">Customer Strategy &amp; Ops - New Grad (2027)</t>
  </si>
  <si>
    <t xml:space="preserve">San Francisco, CA / New York, NY / Denver, CO</t>
  </si>
  <si>
    <t xml:space="preserve">$90,000-$110,000 + equity</t>
  </si>
  <si>
    <t xml:space="preserve">Health-tech strategy &amp; ops role that owns customer outcomes; it uses her clinical-data and healthcare background and her founder ownership</t>
  </si>
  <si>
    <t xml:space="preserve">Explicitly for fall 2026/spring 2027 grads. Base is a little under the $100k bar (Indeed shows up to $120k). Hybrid is 4 days in office, with up to 25% travel. Posted late Aug 2026; no deadline seen.</t>
  </si>
  <si>
    <t xml:space="preserve">Customer Growth Associate, Google Customer Solutions, University Graduate, 2027 Start</t>
  </si>
  <si>
    <t xml:space="preserve">New York, NY / San Francisco, CA</t>
  </si>
  <si>
    <t xml:space="preserve">$72k-$102k + 30% bonus target + equity</t>
  </si>
  <si>
    <t xml:space="preserve">Google ads growth/consulting role for new grads in NYC or SF; her brand-deal and analytics experience fits client growth work</t>
  </si>
  <si>
    <t xml:space="preserve">Google is on the big-name list, so the base below the bar is fine. Status is uncertain: posted 8/14/26, and one copy is marked no longer accepting while Handshake shows validThrough 2027-07-20. Prefers a July 2027 start. Check before applying.</t>
  </si>
  <si>
    <t xml:space="preserve">Uber</t>
  </si>
  <si>
    <t xml:space="preserve">New York - Strategic Finance Intern - 2027</t>
  </si>
  <si>
    <t xml:space="preserve">$32.80/hr</t>
  </si>
  <si>
    <t xml:space="preserve">Finance &amp; Strategy internship in NYC that uses her DCF/3-statement modeling and Pfizer cost-modeling work</t>
  </si>
  <si>
    <t xml:space="preserve">Posted 9/14/26 on the University team. Graduation-window eligibility wasn't visible; Uber's 2027 intern roles often require Dec 2027+ grads, so there's a return-to-school risk (her BS/MS may help). An SF version also appears on aggregators.</t>
  </si>
  <si>
    <t xml:space="preserve">Whatnot</t>
  </si>
  <si>
    <t xml:space="preserve">Category Associate - New Grad Business Program</t>
  </si>
  <si>
    <t xml:space="preserve">New York, NY / San Francisco, CA / Los Angeles, CA</t>
  </si>
  <si>
    <t xml:space="preserve">$81,000-$90,000</t>
  </si>
  <si>
    <t xml:space="preserve">Live-shopping new-grad rotation spanning seller onboarding, influencer partnerships, marketing and analytics; built for a creator-founder</t>
  </si>
  <si>
    <t xml:space="preserve">Requires graduating by summer 2027, which she meets. Pay is under the $100k bar. On-site in a hub. No deadline seen; listed on Ashby and Whatnot careers.</t>
  </si>
  <si>
    <t xml:space="preserve">TikTok</t>
  </si>
  <si>
    <t xml:space="preserve">Creative Product Operations Graduate (International Advertising - Creative and Brand Innovation) - 2027 Start</t>
  </si>
  <si>
    <t xml:space="preserve">San Jose, CA</t>
  </si>
  <si>
    <t xml:space="preserve">$76K-$128K</t>
  </si>
  <si>
    <t xml:space="preserve">Global Spark rotational program for the class of 2027 on creator marketing and GenAI ad tools, a direct match for her creator and AI-brand work</t>
  </si>
  <si>
    <t xml:space="preserve">One copy lists a Master's in Business or related as the minimum. Her BS/MS is biotech, so that's a soft gap. Asks for SQL/Python/BI, which she has. Rolling review; no NYC version found.</t>
  </si>
  <si>
    <t xml:space="preserve">American Express</t>
  </si>
  <si>
    <t xml:space="preserve">Campus Undergraduate Full-Time Analyst - 2027 Data &amp; Analytics, Enterprise Technology Services</t>
  </si>
  <si>
    <t xml:space="preserve">$78K-$125K</t>
  </si>
  <si>
    <t xml:space="preserve">NYC full-time analytics program that uses her Python/SQL/R and Pfizer business-data-analyst work</t>
  </si>
  <si>
    <t xml:space="preserve">Seen only on aggregators, about 27-29 days old at search time, so it may be near closing. No direct Amex requisition URL appeared, so the link is the careers home; search the title there. A Charlotte version also exists.</t>
  </si>
  <si>
    <t xml:space="preserve">CVS Health</t>
  </si>
  <si>
    <t xml:space="preserve">Innovation &amp; Technology Internship - Data Science - Summer 2027 (Undergraduate)</t>
  </si>
  <si>
    <t xml:space="preserve">$42/hr</t>
  </si>
  <si>
    <t xml:space="preserve">NYC health-data science internship building predictive and ML models in Python/R and SQL, which are her core skills.</t>
  </si>
  <si>
    <t xml:space="preserve">Runs May 24 to Aug 4, 2027, hybrid with 3 office days. Pay and dates come from mirrors; I did not see the CVS Workday page. Eligibility risk: it is for undergraduates, and she graduates in May 2027 but continues in a BS/MS. No deadline seen.</t>
  </si>
  <si>
    <t xml:space="preserve">2027 Future Talent Program - Study Management - Intern</t>
  </si>
  <si>
    <t xml:space="preserve">North Wales, PA</t>
  </si>
  <si>
    <t xml:space="preserve">Clinical trial operations internship near Philadelphia (tier 2), building on her trial analysis and CRC data experience.</t>
  </si>
  <si>
    <t xml:space="preserve">Official Merck requisition. No end date seen; Merck says roles may close early, and some sister FTP roles closed Oct 9, so check now. Eligibility: Merck FTP generally expects enrolled students.</t>
  </si>
  <si>
    <t xml:space="preserve">2027 Future Talent Program - Clinical Business Operations - Intern</t>
  </si>
  <si>
    <t xml:space="preserve">Unknown (likely Rahway, NJ or North Wales, PA)</t>
  </si>
  <si>
    <t xml:space="preserve">Process, quality and technology projects in clinical data management, close to her Pfizer AI regulatory QA work.</t>
  </si>
  <si>
    <t xml:space="preserve">Seen only on a mirror; I did not confirm the location or end date. It sits within Global Data Management &amp; Standards. Verify on jobs.merck.com.</t>
  </si>
  <si>
    <t xml:space="preserve">Consulting Analyst - Life Sciences Advisory, Health Segment - Campus 2027</t>
  </si>
  <si>
    <t xml:space="preserve">$62,000-$103,000</t>
  </si>
  <si>
    <t xml:space="preserve">NYC life-sciences advisory analyst seat for Summer 2027 grads; good backup to the Consultant-level req.</t>
  </si>
  <si>
    <t xml:space="preserve">Undergrads enrolled through Fall 2026 and graduating by Summer 2027 (she fits). Workday showed it posted about 21 days ago. No deadline listed. Pay is mostly below the $100k bar (top of range $103k), so the Consultant req is the better target.</t>
  </si>
  <si>
    <t xml:space="preserve">Point72</t>
  </si>
  <si>
    <t xml:space="preserve">Point72 Academy Investment Analyst Program for Upcoming Graduates (2027 - US)</t>
  </si>
  <si>
    <t xml:space="preserve">Multiple (US; NYC primary)</t>
  </si>
  <si>
    <t xml:space="preserve">$125,000 base (excl. bonus)</t>
  </si>
  <si>
    <t xml:space="preserve">Paid 10-month equity analyst training for Dec 2026–Jul 2027 grads; healthcare is a big Point72 sector and fits her biotech plus modeling profile.</t>
  </si>
  <si>
    <t xml:space="preserve">Eligibility: graduating Dec 2026–Jul 2027 (she fits). Candidates are considered as they apply until full, so no fixed deadline, but it may already be full. One Academy application globally. Not healthcare-specific (the healthcare-professional track is for MD/PhD and closed). Link is an aggregator; apply via point72.com/careers.</t>
  </si>
  <si>
    <t xml:space="preserve">Citadel</t>
  </si>
  <si>
    <t xml:space="preserve">Equities - Citadel Associate Program - Full Time Program 2027 (US)</t>
  </si>
  <si>
    <t xml:space="preserve">New York, NY (US)</t>
  </si>
  <si>
    <t xml:space="preserve">$125K-$135K (unverified, from a removed listing)</t>
  </si>
  <si>
    <t xml:space="preserve">Equities investing program for Dec 2026–Jul 2027 grads, with sector rotations where healthcare coverage fits her biotech depth.</t>
  </si>
  <si>
    <t xml:space="preserve">Citadel's official page says it is accepting applications for the 2027 Full-Time Program, but several reposts show it closed or expired (a Penn listing expired 2 Aug 2026), so status is uncertain. Eligibility: undergrads graduating Dec 2026–Jul 2027. No healthcare-specific (Surveyor) role found.</t>
  </si>
  <si>
    <t xml:space="preserve">Global Regulatory Affairs Intern (2027 program)</t>
  </si>
  <si>
    <t xml:space="preserve">Unknown (likely NJ/PA)</t>
  </si>
  <si>
    <t xml:space="preserve">A core regulatory affairs internship at a big-name company; her Pfizer GRS experience is directly relevant.</t>
  </si>
  <si>
    <t xml:space="preserve">Only a third-party listing mentions GRA hiring for its 2027 program; I did not find the official careers.jnj.com requisition. Low-to-medium confidence it is open, and no deadline was seen. Verify on careers.jnj.com.</t>
  </si>
  <si>
    <t xml:space="preserve">2027 Future Talent Program – International Pricing Analytics Intern</t>
  </si>
  <si>
    <t xml:space="preserve">Unknown (likely Rahway/Upper Gwynedd area)</t>
  </si>
  <si>
    <t xml:space="preserve">Building pricing-measurement frameworks and dashboards is market-access analytics that matches her Python, SQL and modeling skills.</t>
  </si>
  <si>
    <t xml:space="preserve">Aggregator listing; location and deadline not shown. Returning-student requirement. Medium confidence it is open.</t>
  </si>
  <si>
    <t xml:space="preserve">Vertex Pharmaceuticals</t>
  </si>
  <si>
    <t xml:space="preserve">Commercial Analytics Co-op (Summer 2027 term)</t>
  </si>
  <si>
    <t xml:space="preserve">Commercial analytics in Boston, open to bachelor's and master's students, matches her SQL, Python and business-analytics minor.</t>
  </si>
  <si>
    <t xml:space="preserve">Source is a GitHub job tracker listing Winter/Spring/Summer 2027 terms; I did not see the Vertex Workday page. Co-op length may clash with her May graduation. Medium-low confidence; verify on vrtx.com careers.</t>
  </si>
  <si>
    <t xml:space="preserve">Serif Biomedicines (Flagship Pioneering)</t>
  </si>
  <si>
    <t xml:space="preserve">Market Intelligence and Strategy Internship</t>
  </si>
  <si>
    <t xml:space="preserve">Cambridge, MA (Kendall Square)</t>
  </si>
  <si>
    <t xml:space="preserve">$35–45/hr</t>
  </si>
  <si>
    <t xml:space="preserve">Competitive intelligence and dashboards reporting to the Director of Corporate Strategy at a Flagship company, in line with her market-tracking and VC-database work.</t>
  </si>
  <si>
    <t xml:space="preserve">Greenhouse posting found; the results did not confirm that it is a Summer 2027 role, and some mirrors are dated 2026 or older. Medium-low confidence; check the posting dates. Pay comes from job boards.</t>
  </si>
  <si>
    <t xml:space="preserve">Coinbase</t>
  </si>
  <si>
    <t xml:space="preserve">Associate Product Manager Intern (Summer 2027)</t>
  </si>
  <si>
    <t xml:space="preserve">$55/hr (per one third-party source)</t>
  </si>
  <si>
    <t xml:space="preserve">Tier-1 SF APM internship whose stated graduation window (Dec 2026–Jun 2028) includes her May 2027 date.</t>
  </si>
  <si>
    <t xml:space="preserve">Posted early Sept 2026; apmlist showed it open as of Oct 5 with no deadline. Graduation window is from Extern (third-party), not Coinbase. The posting asks for crypto/blockchain product experience, which is a gap. Coinbase allows only 3 applications per 6 months. Not re-verified after Oct 5.</t>
  </si>
  <si>
    <t xml:space="preserve">Pfizer Futures 2027 – Digital &amp; Technology Summer Internship</t>
  </si>
  <si>
    <t xml:space="preserve">NYC (HQ) and other Pfizer sites</t>
  </si>
  <si>
    <t xml:space="preserve">$26–29/hr undergrad (third-party estimate)</t>
  </si>
  <si>
    <t xml:space="preserve">She's a returning Pfizer intern who built an AI agent; this track covers digital/AI product launch, user research and adoption.</t>
  </si>
  <si>
    <t xml:space="preserve">A Harvard careers listing gives a June 7, 2027 start for Digital &amp; Technology. Pay and locations are from Extern (third-party), and Pfizer is a big-name exception to the pay bar. No deadline found. The internship likely requires continued enrollment after summer, which is a risk since she graduates May 2027. Link is Pfizer's digital-intern program page, not a specific requisition.</t>
  </si>
  <si>
    <t xml:space="preserve">Claude Corps (Anthropic-funded; employer is CodePath)</t>
  </si>
  <si>
    <t xml:space="preserve">Claude Corps Fellow – Cohort 2 (Mar 2027) or Cohort 3 (Aug 2027)</t>
  </si>
  <si>
    <t xml:space="preserve">US nonprofits (relocation may be required)</t>
  </si>
  <si>
    <t xml:space="preserve">$85,000 + benefits</t>
  </si>
  <si>
    <t xml:space="preserve">12-month paid AI fellowship for people with &lt;2 years' experience; her AI-agent build, Anthropic brand deal and BioBridge founding fit the profile.</t>
  </si>
  <si>
    <t xml:space="preserve">Anthropic's announcement says applications are rolling for the March and August 2027 cohorts. One aggregator cites a Jan 31, 2027 deadline (unverified). Applicants must finish the AI Fluency and Claude 101 courses first. Excludes F-1 OPT (per third-party summary). Pay is under $100k but Anthropic-backed. The employer of record is CodePath, not Anthropic, and it's a 1-year fellowship rather than a permanent role.</t>
  </si>
  <si>
    <t xml:space="preserve">BlackRock</t>
  </si>
  <si>
    <t xml:space="preserve">2027 Full-Time Analyst Program - AMRS</t>
  </si>
  <si>
    <t xml:space="preserve">New York, NY (also other AMRS offices)</t>
  </si>
  <si>
    <t xml:space="preserve">Accepts Sep 2026–Jul 2027 grads, so she's eligible, and it's a top asset-manager analyst program in NYC.</t>
  </si>
  <si>
    <t xml:space="preserve">Asset management analyst program; it may include private markets, but that's not confirmed. Eligibility per the official page: bachelor's/master's grads Sep 2026–Jul 2027. No deadline shown in results (the EMEA version closed Sep 30), so it may close soon. Moderately confident.</t>
  </si>
  <si>
    <t xml:space="preserve">Bessemer Venture Partners</t>
  </si>
  <si>
    <t xml:space="preserve">Full Time Analyst 2027 (two-year VC analyst program)</t>
  </si>
  <si>
    <t xml:space="preserve">$115K/yr (third-party boards)</t>
  </si>
  <si>
    <t xml:space="preserve">Top VC analyst program built for new undergrad grads in NYC; her 130+ firm biotech VC database and her founding of BioBridge stand out.</t>
  </si>
  <si>
    <t xml:space="preserve">Status unclear: the Greenhouse board still lists it, but a tracker says the window was Aug 24–Sep 20, 2026, and Bessemer has said it keeps postings open to build a waitlist. Low-moderate confidence it's open; apply only as a waitlist candidate. Pay is from aggregators, not Bessemer.</t>
  </si>
  <si>
    <t xml:space="preserve">G2 Venture Partners (G2VP)</t>
  </si>
  <si>
    <t xml:space="preserve">Full-Time Venture Capital Analyst (late summer 2027 start)</t>
  </si>
  <si>
    <t xml:space="preserve">Portola Valley, CA (Bay Area)</t>
  </si>
  <si>
    <t xml:space="preserve">Entry-level Bay Area VC apprenticeship with a start that fits her May 2027 graduation.</t>
  </si>
  <si>
    <t xml:space="preserve">Climate/industrial-tech focus, not bio, which is a soft gap. Rolling review per the posting; current status not confirmed. Not remote.</t>
  </si>
  <si>
    <t xml:space="preserve">Goldman Sachs</t>
  </si>
  <si>
    <t xml:space="preserve">2027 Americas Summer Analyst – Asset Management, Alternatives / Private Investing (New York)</t>
  </si>
  <si>
    <t xml:space="preserve">Goldman's private-investing team in NYC, which uses her modeling and investing experience.</t>
  </si>
  <si>
    <t xml:space="preserve">Aggregators show NYC/SF/Dallas/West Palm postings added recently; applications opened Aug 15, 2026 with rolling review and no published close date. Applicants are limited to 4 business/location choices. Eligibility risk: aimed at penultimate-year students and she graduates May 2027. The posting is on higher.gs.com; the link is Goldman's program page.</t>
  </si>
  <si>
    <t xml:space="preserve">2027 Americas Summer Analyst – Asset Management, Alternatives / Private Investing (San Francisco)</t>
  </si>
  <si>
    <t xml:space="preserve">Same private-investing seat in the Bay Area, which is tier 1 for her.</t>
  </si>
  <si>
    <t xml:space="preserve">Same caveats as the NYC listing: rolling review, 4-application cap, penultimate-year eligibility risk. Seen via aggregator copies of the higher.gs.com posting.</t>
  </si>
  <si>
    <t xml:space="preserve">StepStone Group</t>
  </si>
  <si>
    <t xml:space="preserve">2027 Private Equity Summer Analyst</t>
  </si>
  <si>
    <t xml:space="preserve">New York, NY (450 Lexington Ave)</t>
  </si>
  <si>
    <t xml:space="preserve">$95,000 annualized (Built In); another listing says $35/hr</t>
  </si>
  <si>
    <t xml:space="preserve">Private-markets diligence, modeling and investment-memo work in NYC, well above the pay bar.</t>
  </si>
  <si>
    <t xml:space="preserve">Rolling deadline per the listing. Eligibility risk: wants grads Dec 2027–Jun 2028. Some StepStone 2027 listings are about 180 days old; not checked on StepStone's own ATS. Moderate confidence it's open.</t>
  </si>
  <si>
    <t xml:space="preserve">L'Oréal USA</t>
  </si>
  <si>
    <t xml:space="preserve">2027 Management Trainee Program - Digital</t>
  </si>
  <si>
    <t xml:space="preserve">New York, NY (hubs also Clearwater FL, El Segundo CA)</t>
  </si>
  <si>
    <t xml:space="preserve">$89,500</t>
  </si>
  <si>
    <t xml:space="preserve">2-year beauty-brand digital/marketing rotation in NYC; her social-media following is a standout here</t>
  </si>
  <si>
    <t xml:space="preserve">Eligibility fits: grads Dec 2026-Jul 2027, 3.5 GPA (she has 3.75), September 2027 start, no sponsorship. LIKELY CLOSED: one copy shows a 9/1-9/15 review window and expiry 10/5/26. Check careers.loreal.com for the Digital or Marketing MT. The link is an aggregator; no official URL was seen.</t>
  </si>
  <si>
    <t xml:space="preserve">Procter &amp; Gamble</t>
  </si>
  <si>
    <t xml:space="preserve">Brand Manager (2027 Undergrad and Master's - Non MBA)</t>
  </si>
  <si>
    <t xml:space="preserve">Cincinnati, OH</t>
  </si>
  <si>
    <t xml:space="preserve">$85,000-$122,200</t>
  </si>
  <si>
    <t xml:space="preserve">Classic P&amp;G brand-management track open to Dec 2026/Spring 2027 BS/MS grads; her creator-marketing experience is a differentiator</t>
  </si>
  <si>
    <t xml:space="preserve">Eligible on timing. Stretch because Cincinnati isn't one of her cities. Official pgcareers posting; no deadline seen, and P&amp;G cohorts often fill by November.</t>
  </si>
  <si>
    <t xml:space="preserve">Campus Undergraduate Summer Internship Program - 2027 Marketing Operations, US Consumer Services</t>
  </si>
  <si>
    <t xml:space="preserve">NYC marketing-ops internship at a big consumer brand where her content and analytics skills both count</t>
  </si>
  <si>
    <t xml:space="preserve">Sister Amex 2027 undergrad internships require grads Dec 2027-Jun 2028, so there's a return-to-school risk. Other Amex 2027 intern listings show deadlines of 10/11 and 10/29, so this one may close soon. Status wasn't verified on the Amex site; aggregator link.</t>
  </si>
  <si>
    <t xml:space="preserve">2027 Summer Internship Program - AMERS</t>
  </si>
  <si>
    <t xml:space="preserve">New York, NY (San Francisco also offered)</t>
  </si>
  <si>
    <t xml:space="preserve">$33.65-$56.49/hr (aggregator)</t>
  </si>
  <si>
    <t xml:space="preserve">Finance leadership pipeline with NYC/SF seats across Investments, Client/Product and Corporate functions; her modeling and VC database work fit</t>
  </si>
  <si>
    <t xml:space="preserve">Eligibility is grads Sep 2027-Jul 2028, so May 2027 is a risk unless her MS timing counts. Rolling review Oct-Dec; one cached copy shows validThrough 2026-12-07, which wasn't used as a hard deadline. Limit of 1 program / up to 3 functions.</t>
  </si>
  <si>
    <t xml:space="preserve">Adobe</t>
  </si>
  <si>
    <t xml:space="preserve">2027 Intern - Digital Strategy Analyst, Strategic Advisory</t>
  </si>
  <si>
    <t xml:space="preserve">$25.00-$30.00/hr</t>
  </si>
  <si>
    <t xml:space="preserve">NYC strategy-consulting internship advising C-suites on digital/customer-experience transformation; her vendor benchmarking and AI agent are relevant</t>
  </si>
  <si>
    <t xml:space="preserve">Requires grads Dec 2027-Jun 2028 and full-time May-Sep 2027, so eligibility is a risk. Pay is under $30 at the low end. Posted 9/18/26; no deadline seen. Official Workday URL.</t>
  </si>
  <si>
    <t xml:space="preserve">Salesforce</t>
  </si>
  <si>
    <t xml:space="preserve">Summer 2027 Intern - Product GTM Strategy</t>
  </si>
  <si>
    <t xml:space="preserve">~$29-$33/hr (aggregators)</t>
  </si>
  <si>
    <t xml:space="preserve">GTM strategy analytics (SQL, dashboards, exec decks, AI-enabled workflows) in SF matches her analyst and AI-agent skills</t>
  </si>
  <si>
    <t xml:space="preserve">Grads Winter 2027-Summer 2028 (one source says Dec 2027-Jun 2029), so there's a return-to-school risk. One listing shows a 10/17 deadline, but Extern reported it still live on 10/25. Futureforce caps applications at 3 per 12 months. Status uncertain.</t>
  </si>
  <si>
    <t xml:space="preserve">Assured Guaranty</t>
  </si>
  <si>
    <t xml:space="preserve">Business Operations Intern - Summer 2027</t>
  </si>
  <si>
    <t xml:space="preserve">$30-$32/hr (from sister 2027 postings)</t>
  </si>
  <si>
    <t xml:space="preserve">Small-firm NYC bizops internship that values stats/ML and Python; a solid analytics stretch</t>
  </si>
  <si>
    <t xml:space="preserve">Last confirmed open 10/5/26 (PitchMeAI). Runs June 8-July 30. The pay range comes from other AG 2027 interns, not confirmed for this one. Graduation-window eligibility unknown. Housing stipend if outside the tri-state area.</t>
  </si>
  <si>
    <t xml:space="preserve">Perpay</t>
  </si>
  <si>
    <t xml:space="preserve">Business Operations Internship, Summer 2027</t>
  </si>
  <si>
    <t xml:space="preserve">Philadelphia, PA</t>
  </si>
  <si>
    <t xml:space="preserve">Philadelphia fintech bizops internship (approvals, e-commerce ops, payments), close to Jefferson and a good startup ops exposure</t>
  </si>
  <si>
    <t xml:space="preserve">Requires grads winter 2027-summer 2028, a return-to-school risk; 3.0 GPA. Hourly, amount unlisted. Philly is tier 2. Official Greenhouse URL.</t>
  </si>
  <si>
    <t xml:space="preserve">Lauder Summer 2027 Intern, Technology, Data &amp; Analytics</t>
  </si>
  <si>
    <t xml:space="preserve">Beauty-company data &amp; analytics internship in NYC that uses her Python/SQL/AI-agent skills</t>
  </si>
  <si>
    <t xml:space="preserve">Same junior/rising-senior requirement as other Lauder Summer tracks, so there's an eligibility risk. Deadline unknown; may already be closed (Extern). Official ELC URL.</t>
  </si>
  <si>
    <t xml:space="preserve">PepsiCo</t>
  </si>
  <si>
    <t xml:space="preserve">2027 Summer Intern: Marketing Intern - Undergrad</t>
  </si>
  <si>
    <t xml:space="preserve">Purchase, NY / Plano, TX / Chicago, IL</t>
  </si>
  <si>
    <t xml:space="preserve">CPG brand-marketing internship at Pepsi's Purchase NY HQ; her social-content skills fit brand work</t>
  </si>
  <si>
    <t xml:space="preserve">Eligibility window not shown; likely rising seniors, so there's a return-to-school risk. The MBA version expired 10/9/26, so this one may also close soon. Pay unlisted. Official pepsicojobs URL.</t>
  </si>
  <si>
    <t xml:space="preserve">Amazon</t>
  </si>
  <si>
    <t xml:space="preserve">Amazon Finance Rotational Program (AFRP) - Business Unit Finance, Early Career - 2027</t>
  </si>
  <si>
    <t xml:space="preserve">Seattle, WA / Arlington, VA</t>
  </si>
  <si>
    <t xml:space="preserve">Freshly posted 2-year finance leadership rotation at Amazon; her DCF/3-statement modeling and cost modeling fit</t>
  </si>
  <si>
    <t xml:space="preserve">Posted 10/23/26, so it's very likely open; Amazon fills on a rolling basis, so apply in the first 1-2 weeks. Stretch because the locations aren't her cities. No visa sponsorship. Aggregator link; search amazon.jobs for 'AFRP Business Unit Finance Early Career 2027'.</t>
  </si>
  <si>
    <t xml:space="preserve">Mastercard</t>
  </si>
  <si>
    <t xml:space="preserve">Sales Analyst Intern, Summer 2027</t>
  </si>
  <si>
    <t xml:space="preserve">NYC role at the intersection of data, strategy and client engagement; a business-analytics stretch</t>
  </si>
  <si>
    <t xml:space="preserve">Mastercard posts and fills on a rolling basis; US 2027 interns are not sponsorship-eligible. Pay and eligibility not seen (sister Purchase marketing intern lists $34/hr). Aggregator link; verify on careers.mastercard.com.</t>
  </si>
  <si>
    <t xml:space="preserve">2027 Future Talent Program - Global Data Management and Standards (GDMS) - Intern</t>
  </si>
  <si>
    <t xml:space="preserve">Clinical data standards and management work that uses her SQL and clinical research data background.</t>
  </si>
  <si>
    <t xml:space="preserve">The mirror shows it was posted 2026-10-03, so it is likely still open. Location and pay were not confirmed. FTP enrollment caveat applies.</t>
  </si>
  <si>
    <t xml:space="preserve">2027 Future Talent Program - Data Analytics and Insights - Intern</t>
  </si>
  <si>
    <t xml:space="preserve">$39K (employer-provided, annualized)</t>
  </si>
  <si>
    <t xml:space="preserve">Pharma data analytics internship in the NYC metro that fits her Business Analytics minor and Python/SQL skills.</t>
  </si>
  <si>
    <t xml:space="preserve">No closing date found, and some Merck FTP roles have already closed, so verify on jobs.merck.com. FTP enrollment caveat applies.</t>
  </si>
  <si>
    <t xml:space="preserve">2027 Future Talent Program - Biostatistics - Intern</t>
  </si>
  <si>
    <t xml:space="preserve">Clinical biostatistics in the NYC metro at a big-name pharma, drawing on her R and quantitative work.</t>
  </si>
  <si>
    <t xml:space="preserve">Stretch: it is for graduate students in statistics/biostatistics with 2+ semesters of grad work done by May 2027; a biotech MS may not qualify. Official requisition. No end date seen.</t>
  </si>
  <si>
    <t xml:space="preserve">Marketing Analytics - Data Analyst - July 2027 Start Date - ADP</t>
  </si>
  <si>
    <t xml:space="preserve">New-grad SQL analytics role on health/pharma marketing data in NYC with a July 2027 start, which fits her timeline.</t>
  </si>
  <si>
    <t xml:space="preserve">Pay is below the $100k bar (official page says $82,500; aggregators show $60k-95k). The title says July 2027, so it is the current cycle. No deadline seen; the sister CSA role's campus listing expires Nov 13. Veeva does not sponsor visas.</t>
  </si>
  <si>
    <t xml:space="preserve">Veeva Systems</t>
  </si>
  <si>
    <t xml:space="preserve">Associate Business Consultant - Life Sciences Analytics (Summer 2027 start)</t>
  </si>
  <si>
    <t xml:space="preserve">$85,000 (listed for sister ABC track)</t>
  </si>
  <si>
    <t xml:space="preserve">20-month consulting program delivering Veeva Data Cloud insights to pharma clients; it asks for SQL/Python and a 3.0+ GPA.</t>
  </si>
  <si>
    <t xml:space="preserve">Risk: UVA's campus listings for the summer 2027 ABC roles expired Oct 13, 2026, so this may be closed; check Veeva's page. Pay is below the bar, and the $85k figure is from the Commercial-track listing.</t>
  </si>
  <si>
    <t xml:space="preserve">Associate Business Consultant - Life Sciences R&amp;D (Summer 2027 start)</t>
  </si>
  <si>
    <t xml:space="preserve">Consulting on clinical/regulatory/quality software for pharma R&amp;D, matching her Pfizer Global Regulatory Sciences internship.</t>
  </si>
  <si>
    <t xml:space="preserve">Location and pay were not seen. The summer 2027 R&amp;D and Quality campus listing expired Oct 13, 2026, so it may be closed. Low confidence that it is open.</t>
  </si>
  <si>
    <t xml:space="preserve">Associate Consultant - Entry-Level Technology Consulting (Life Sciences), July 2027 start</t>
  </si>
  <si>
    <t xml:space="preserve">$65K - $80K</t>
  </si>
  <si>
    <t xml:space="preserve">Life-sciences tech consulting entry program in Boston (tier 2) that values her AI-agent and data skills.</t>
  </si>
  <si>
    <t xml:space="preserve">Below the pay bar. The page looked recent in results, but I could not confirm it is open. No deadline seen.</t>
  </si>
  <si>
    <t xml:space="preserve">Associate Consultant (UK) - Entry-Level Technology Consulting (Life Sciences), Generation Veeva</t>
  </si>
  <si>
    <t xml:space="preserve">London grad program with April or October 2027 start options, consulting on life-sciences software.</t>
  </si>
  <si>
    <t xml:space="preserve">Start dates are Oct 2026, Apr 2027 or Oct 2027; she would target Oct 2027. UK work authorization would be needed. Pay not listed (a sister London ABC role is £45k).</t>
  </si>
  <si>
    <t xml:space="preserve">NewYork-Presbyterian</t>
  </si>
  <si>
    <t xml:space="preserve">Summer 2027 Finance Internship Program - Financial Planning</t>
  </si>
  <si>
    <t xml:space="preserve">Health-system analyst internship doing forecasting and service-line performance analysis in NYC, which uses her financial modeling.</t>
  </si>
  <si>
    <t xml:space="preserve">An 8-week program starting early June 2027. Pay and deadline are not shown. It likely expects returning students, which is a risk. This is the official NYP page.</t>
  </si>
  <si>
    <t xml:space="preserve">Clinical Research Coordinator I - Immunology and Immunotherapy</t>
  </si>
  <si>
    <t xml:space="preserve">$58,661 - $73,530</t>
  </si>
  <si>
    <t xml:space="preserve">NYC entry CRC in immunotherapy trials, a natural next step from her clinical data and St. Jude research.</t>
  </si>
  <si>
    <t xml:space="preserve">Posted 2026-08-21, valid through Aug 2027 per listing data. It is a near-term hire, so the May 2027 graduation timing is a risk. Below the pay bar.</t>
  </si>
  <si>
    <t xml:space="preserve">Clinical Research Coordinator - Population Health Science &amp; Policy</t>
  </si>
  <si>
    <t xml:space="preserve">Population-health research coordination in NYC that leans data-heavy, suiting her R/SQL analytics.</t>
  </si>
  <si>
    <t xml:space="preserve">This is the highest requisition ID among the Mount Sinai results, so likely recent, but no date or pay was seen. Likely below the pay bar. It is an immediate hire, so there is a timing risk.</t>
  </si>
  <si>
    <t xml:space="preserve">Clinical Research Coordinator - Rheumatology</t>
  </si>
  <si>
    <t xml:space="preserve">Recently posted Columbia CRC in NYC that needs only a bachelor's, matching her clinical research data background.</t>
  </si>
  <si>
    <t xml:space="preserve">Posted 2026-10-13. Spanish is preferred. Columbia CRC pay is about $66,300, below the bar. It is an immediate hire, so there is a timing risk for a May 2027 graduate.</t>
  </si>
  <si>
    <t xml:space="preserve">NYU Langone Health</t>
  </si>
  <si>
    <t xml:space="preserve">Research Coordinator (NYU Grossman School of Medicine)</t>
  </si>
  <si>
    <t xml:space="preserve">NYC academic research coordinator role (IRB, recruitment, EHR data) matching her Jefferson CRC data work.</t>
  </si>
  <si>
    <t xml:space="preserve">Low confidence on details: search results included two NYU Research Coordinator postings (Neurology-Epilepsy, about 39 days old; SoDEC digital care, about 190 days old), and I could not confirm which link is which. NYU associate CRC pay is about $66k-75k, below the bar.</t>
  </si>
  <si>
    <t xml:space="preserve">Mass General Brigham</t>
  </si>
  <si>
    <t xml:space="preserve">Clinical Research Coordinator I/II</t>
  </si>
  <si>
    <t xml:space="preserve">$21.00 - $29.01/hr (typical MGB CRC I range)</t>
  </si>
  <si>
    <t xml:space="preserve">The official MGB posting explicitly considers new grads for CRC I, at a top Boston AMC (tier 2).</t>
  </si>
  <si>
    <t xml:space="preserve">Dated 2026-09-30 on Workday. Pay is well below the bar. It is an immediate hire, so there is a timing risk; MGB posts CRC roles continuously, so similar roles will exist in spring 2027.</t>
  </si>
  <si>
    <t xml:space="preserve">Stanford Medicine</t>
  </si>
  <si>
    <t xml:space="preserve">Neuromuscular Clinical Research Coordinator Associate</t>
  </si>
  <si>
    <t xml:space="preserve">Stanford, CA</t>
  </si>
  <si>
    <t xml:space="preserve">$30.35 - $56.66/hr</t>
  </si>
  <si>
    <t xml:space="preserve">Bay Area (tier 1) CRC role in rare neuromuscular disease, which ties to her Orphan Therapeutics rare-disease work.</t>
  </si>
  <si>
    <t xml:space="preserve">Posted 2026-10-05. SoCRA/ACRP certification is preferred. Pay is likely below the $100k bar at the low end. It is an immediate hire, so there is a timing risk.</t>
  </si>
  <si>
    <t xml:space="preserve">UCSF</t>
  </si>
  <si>
    <t xml:space="preserve">Assistant Clinical Research Coordinator</t>
  </si>
  <si>
    <t xml:space="preserve">$33.31 - $53.57/hr (aggregator)</t>
  </si>
  <si>
    <t xml:space="preserve">SF (tier 1) entry CRC with on-the-job training, building on her clinical research data analyst role.</t>
  </si>
  <si>
    <t xml:space="preserve">The careers-site listing showed about 112 days of age, so it may be closed. I could not confirm which department (Pulmonary/NTM or Pediatrics) this ID maps to. Pay is below the bar.</t>
  </si>
  <si>
    <t xml:space="preserve">Intern - Life Sciences Advisory, Health Segment - Campus 2027</t>
  </si>
  <si>
    <t xml:space="preserve">Same LS advisory team as an internship route if full-time reqs don't pan out.</t>
  </si>
  <si>
    <t xml:space="preserve">Eligibility (class year) not in the results; likely needs a return to school, which is a risk since she graduates May 2027. Pay not shown. Open status not confirmed.</t>
  </si>
  <si>
    <t xml:space="preserve">Decision Analytics Associate Consultant - Intern (North America - University Students)</t>
  </si>
  <si>
    <t xml:space="preserve">Multiple (incl. New York, Philadelphia, South San Francisco, Evanston)</t>
  </si>
  <si>
    <t xml:space="preserve">Pharma commercial analytics with R/SQL/Python, a direct match for her analytics minor and Pfizer data work; Philly/NYC offices.</t>
  </si>
  <si>
    <t xml:space="preserve">A guide said NA summer 2027 interns were open with no stated deadline as of 9 Oct 2026, with rolling fill. A 'valid through 1 Sep 2027' field is posting expiry, not a deadline. Eligibility is inconsistent (one listing says second-to-last year of BS/MS), so a May 2027 graduate is a real risk. A campus blog's 18 Oct deadline is unverified. ZS full-time Associate Consultant reqs want 2–4 years' experience, so I didn't list them.</t>
  </si>
  <si>
    <t xml:space="preserve">DeciBio Consulting</t>
  </si>
  <si>
    <t xml:space="preserve">Life Science Summer Analyst (2027)</t>
  </si>
  <si>
    <t xml:space="preserve">Los Angeles, CA</t>
  </si>
  <si>
    <t xml:space="preserve">$1,500/week (sources vary $1.5k-$2k/wk)</t>
  </si>
  <si>
    <t xml:space="preserve">Precision-medicine/diagnostics boutique that wants life-sci students graduating by Aug 2027, so it fits her timeline (unlike most internships).</t>
  </si>
  <si>
    <t xml:space="preserve">Says graduating by August 2027, so eligibility looks fine. US work authorization required; no sponsorship. LA is outside her tiers. Rolling recruiting; deadline 'not provided'. $1.5k/wk is about $37/hr, above the bar.</t>
  </si>
  <si>
    <t xml:space="preserve">Millennium</t>
  </si>
  <si>
    <t xml:space="preserve">Equities Analyst Program - New York (UBS research training + Millennium PM placement)</t>
  </si>
  <si>
    <t xml:space="preserve">$125,000-$135,000 base</t>
  </si>
  <si>
    <t xml:space="preserve">Two-year new-grad program that values AI-tool research, which matches her AI agent building.</t>
  </si>
  <si>
    <t xml:space="preserve">For bachelor's grads by June 2027 with GPA 3.6+ (she has 3.75) and experience using AI tools for research. A tracker shows the 2027 program opening date as TBC, so open status is unconfirmed. Coverage rotations listed don't name healthcare. Link is an aggregator; check mlp.com careers.</t>
  </si>
  <si>
    <t xml:space="preserve">Centerview Partners</t>
  </si>
  <si>
    <t xml:space="preserve">Full-Time Analyst (general resume submission, one office)</t>
  </si>
  <si>
    <t xml:space="preserve">New York or San Francisco (choose one)</t>
  </si>
  <si>
    <t xml:space="preserve">Top healthcare M&amp;A boutique that takes full-time analyst resumes via a form; a long shot but worth a submission.</t>
  </si>
  <si>
    <t xml:space="preserve">Sources conflict: one guide says the 2027 FT apply-by was 7 Sep 2026; Adventis says the application is open at all times. Only one office per applicant. Low confidence it's actively hiring 2027 FT.</t>
  </si>
  <si>
    <t xml:space="preserve">D. E. Shaw</t>
  </si>
  <si>
    <t xml:space="preserve">Fundamental Research Analyst Intern (New York) - Summer 2027</t>
  </si>
  <si>
    <t xml:space="preserve">$25,000/month + $10,000 sign-on</t>
  </si>
  <si>
    <t xml:space="preserve">Fundamental stock research internship in NYC at top pay; her biotech VC database and modeling show the interest they ask for.</t>
  </si>
  <si>
    <t xml:space="preserve">Listing dates conflict: a UPenn repost runs to 31 Dec 2026, a Yale repost expired 1 Jul 2026. A guide says classes fill by early Q1. Interns typically return to school, so there is a graduation-timing risk. Official listing routes applications via the firm's on-campus page.</t>
  </si>
  <si>
    <t xml:space="preserve">William Blair</t>
  </si>
  <si>
    <t xml:space="preserve">2027 Investment Banking Full-Time Analyst</t>
  </si>
  <si>
    <t xml:space="preserve">Chicago, IL (primary; other offices possible)</t>
  </si>
  <si>
    <t xml:space="preserve">Mid-market bank with a strong healthcare group that places FT analysts straight into sector teams.</t>
  </si>
  <si>
    <t xml:space="preserve">A tracker lists the US 2027 FT program as Open (posted Aug 2026); no ATS link or deadline seen. Chicago is outside her tiers. Healthcare placement not guaranteed. Link is the program page, not the req.</t>
  </si>
  <si>
    <t xml:space="preserve">2027 New Analyst - Global Investment Research / Investment Banking (Americas)</t>
  </si>
  <si>
    <t xml:space="preserve">New York, NY (Americas)</t>
  </si>
  <si>
    <t xml:space="preserve">GS hires some full-time 'New Analyst' 2027 seats outside summer conversion; healthcare research would fit her biotech expertise.</t>
  </si>
  <si>
    <t xml:space="preserve">Search results only confirm that 2027 'New Analyst' listings exist (mostly IB Capital Solutions and GIR across EMEA/Americas); no healthcare-specific Americas req confirmed. Low confidence; filter the GS campus site for New Analyst + Healthcare.</t>
  </si>
  <si>
    <t xml:space="preserve">Bank of America</t>
  </si>
  <si>
    <t xml:space="preserve">Analyst/Associate - Equity Research, Biotech</t>
  </si>
  <si>
    <t xml:space="preserve">Sell-side biotech research analyst seat in NYC; her rare-disease trial analysis and Pfizer experience are relevant industry exposure.</t>
  </si>
  <si>
    <t xml:space="preserve">Asks for about 1–3 years' experience (biopharma, ER, IB or consulting preferred), a stretch for a new grad; her internships may partly count. Not a 2027-cycle program but a current req; open status not confirmed.</t>
  </si>
  <si>
    <t xml:space="preserve">Leerink Partners</t>
  </si>
  <si>
    <t xml:space="preserve">Equity Research Associate - Immuno-Oncology</t>
  </si>
  <si>
    <t xml:space="preserve">Top healthcare-specialist bank research seat; requirement allows a discipline-relevant master's, which her biotech MS could satisfy.</t>
  </si>
  <si>
    <t xml:space="preserve">Requires PhD, MD, or a discipline-relevant master's; she'd have the MS by May 2027, so this is a start-timing stretch. A similar Oncology req on Built In is tagged entry-level at $110K–$170K, and an Emerging Oncology req (R00615) exists. Open status not confirmed. Leerink's 2027 summer analyst cycle is closed (2028 is open to sophomores only).</t>
  </si>
  <si>
    <t xml:space="preserve">Senior Consultant - Life Sciences Advisory, Health Segment - Campus 2027</t>
  </si>
  <si>
    <t xml:space="preserve">$107,000-$178,000</t>
  </si>
  <si>
    <t xml:space="preserve">Highest-paying Guidehouse LS campus req; only worth a look if recruiters slot advanced-degree hires here.</t>
  </si>
  <si>
    <t xml:space="preserve">Likely aimed at MBA/PhD campus hires and manages engagements, so probably above her level; apply to the Consultant req first. Management Consulted job board link; status not confirmed.</t>
  </si>
  <si>
    <t xml:space="preserve">2027 | EMEA | London | Global Investment Research | Equity Research | Seasonal/Off-Cycle Internship</t>
  </si>
  <si>
    <t xml:space="preserve">Big-name equity research seat; a healthcare analyst team would value her biotech science background.</t>
  </si>
  <si>
    <t xml:space="preserve">STRETCH: seasonal/off-cycle internship, and the student-status rules are unclear for a May 2027 graduate. No fixed deadline is published and reviews are rolling. Listing validity dates conflict (17 Nov 2026 vs 17 Feb 2027 on aggregators), so apply soon. GS caps applications at 4 business/location combinations. A UK visa is needed. Pay is in GBP and not listed. The link is the London campus search page.</t>
  </si>
  <si>
    <t xml:space="preserve">Trinity Life Sciences</t>
  </si>
  <si>
    <t xml:space="preserve">Associate Insights - London, Hybrid</t>
  </si>
  <si>
    <t xml:space="preserve">Entry-level (0-1 yr) primary market research role at a top pharma commercial consultancy. Suits her analytics minor and life sciences domain knowledge.</t>
  </si>
  <si>
    <t xml:space="preserve">STRETCH: posted ~65 days ago (around Aug 2026) and probably wants a near-term start, while she can't start until June 2027. Ask about a deferred start. Requires a bachelor's and 0-1 yrs experience. VISA sponsorship isn't stated. Pay is in GBP and not listed in London; the US equivalent is ~$92.5k. It may already be filled.</t>
  </si>
  <si>
    <t xml:space="preserve">PA Consulting</t>
  </si>
  <si>
    <t xml:space="preserve">2027 Graduate - Consulting Rotational Programme Analyst - London</t>
  </si>
  <si>
    <t xml:space="preserve">London, UK (Victoria)</t>
  </si>
  <si>
    <t xml:space="preserve">Rotates across seven sectors including health and life sciences. A way into London consulting with a healthcare angle.</t>
  </si>
  <si>
    <t xml:space="preserve">Generalist scheme; the health/life sciences placement isn't guaranteed. Autumn 2027 start. No deadline found, so treat it as rolling. VISA sponsorship isn't stated. Pay is in GBP and not listed. Fairly sure it's open (live SmartRecruiters posting).</t>
  </si>
  <si>
    <t xml:space="preserve">Barclays</t>
  </si>
  <si>
    <t xml:space="preserve">Banking Graduate Programme 2027 - London</t>
  </si>
  <si>
    <t xml:space="preserve">One of the few London 2027 schemes that says it will sponsor a Skilled Worker visa. Her modeling skills translate, though there's no healthcare-specific track.</t>
  </si>
  <si>
    <t xml:space="preserve">STRETCH: IB and not healthcare-specific. VISA: Barclays says it will sponsor a Skilled Worker visa if Home Office criteria are met, the best visa language found. Live since 29 Aug 2026 with no closing date shown. EP Advisory says places are filled first come, first served, so apply now. Pay is in GBP and not listed.</t>
  </si>
  <si>
    <t xml:space="preserve">Blackbird Ventures</t>
  </si>
  <si>
    <t xml:space="preserve">Investor Relations Analyst</t>
  </si>
  <si>
    <t xml:space="preserve">Sydney (Surry Hills), Australia</t>
  </si>
  <si>
    <t xml:space="preserve">Australia's top VC (closed A$1.05B Fund VI in Aug 2026). An IR analyst seat suits her VC-tracking work and her 85k-follower communication skills.</t>
  </si>
  <si>
    <t xml:space="preserve">UNCERTAIN STATUS: the careers page shows a posting dated ~12 Oct 2026, but a snippet also showed a 'Closed' label. Check before investing time. Likely wants a near-term start rather than June 2027. VISA: needs Australian work rights. As a US citizen she may get a Work &amp; Holiday 462 visa (age 18-30, 12 months, max 6 months per employer), which limits a permanent role. Pay is in AUD and not listed.</t>
  </si>
  <si>
    <t xml:space="preserve">2027 | APEJ | Sydney | Global Investment Research | New Analyst</t>
  </si>
  <si>
    <t xml:space="preserve">Sydney, Australia</t>
  </si>
  <si>
    <t xml:space="preserve">Full-time equity research analyst programme for final-year students; a healthcare coverage team would use her biotech depth.</t>
  </si>
  <si>
    <t xml:space="preserve">STRETCH: Australian work rights are likely needed; a 462 visa caps work at 6 months per employer, so a full-time programme needs sponsorship. Posted around Jun 2026 (ZipRecruiter AU mirror, ref 155760). No deadline found, and it may close soon. Pay is in AUD and not listed.</t>
  </si>
  <si>
    <t xml:space="preserve">FTI Consulting</t>
  </si>
  <si>
    <t xml:space="preserve">2027 Graduate Program, Healthcare Consulting - Sydney</t>
  </si>
  <si>
    <t xml:space="preserve">Healthcare and Human Services practice graduate role in Sydney, a direct use of her Jefferson Health data and health-systems analysis.</t>
  </si>
  <si>
    <t xml:space="preserve">STRETCH: mostly provider/government health work, not pharma. Australian graduate programs usually require citizenship or PR (CSL, Scyne and EY all do), so check first. No deadline found. Pay is in AUD and not listed. Work model set to Hybrid as an assumption; no source states it. FTI also has a 2027 Data Analytics &amp; AI (Healthcare) Sydney graduate role posted 31 Jul 2026.</t>
  </si>
  <si>
    <t xml:space="preserve">Amgen</t>
  </si>
  <si>
    <t xml:space="preserve">Undergrad Intern - U.S. Value &amp; Access (Summer 2027)</t>
  </si>
  <si>
    <t xml:space="preserve">United States - Remote</t>
  </si>
  <si>
    <t xml:space="preserve">$28.87/hr (per Indeed)</t>
  </si>
  <si>
    <t xml:space="preserve">Remote market access/pricing project at a big-name biotech. Fits her Pfizer cost modeling and rare-disease access analysis.</t>
  </si>
  <si>
    <t xml:space="preserve">STRETCH: requires current full-time bachelor's enrollment (3.0+ GPA), and she graduates May 2027. Ask whether the BS/MS program counts. A full-time offer would come by July 2028 (third-party). Posted 13 Oct 2026 (R-253424). No deadline listed. Pay is below the bar, but Amgen is an exempt big name. Some mirrors show Washington DC; the official listing says remote.</t>
  </si>
  <si>
    <t xml:space="preserve">Undergrad Intern - Digital Product - Technology &amp; Medical Organizations (Summer 2027)</t>
  </si>
  <si>
    <t xml:space="preserve">United States - Remote (Field/Remote)</t>
  </si>
  <si>
    <t xml:space="preserve">Digital product role in Amgen's medical organization, a natural fit for someone who built an AI agent for Pfizer regulatory QA.</t>
  </si>
  <si>
    <t xml:space="preserve">STRETCH: the same undergrad-enrollment rule applies, and she graduates May 2027. Posted around Oct 2026 (R-255711). No deadline found. Pay not listed; Amgen undergrad intern pay elsewhere is ~$28/hr, and Amgen is exempt from the bar.</t>
  </si>
  <si>
    <t xml:space="preserve">Grad Intern - Data Scientist - Technology, AI &amp; Data (Summer 2027)</t>
  </si>
  <si>
    <t xml:space="preserve">$35.34-$41.20/hr</t>
  </si>
  <si>
    <t xml:space="preserve">Remote biotech data science internship using her Python/R/SQL and computational biology background, with pay above her bar.</t>
  </si>
  <si>
    <t xml:space="preserve">STRETCH: requires graduate enrollment, with one version wanting the first year of a Master's done. Her MS finishes May 2027, so she may not be enrolled in summer 2027. Posted 15 Sep 2026 per an aggregator mirror; confirm on careers.amgen.com. No deadline found.</t>
  </si>
  <si>
    <t xml:space="preserve">Undergrad Intern - Finance (Summer 2027)</t>
  </si>
  <si>
    <t xml:space="preserve">Remote biotech finance internship that uses her DCF/3-statement modeling skills.</t>
  </si>
  <si>
    <t xml:space="preserve">STRETCH: the same undergrad-enrollment requirement applies. Remote, posted 1 Sep 2026 (R-254668). No deadline found. Pay not listed; Amgen is exempt from the bar. The URL path says Washington DC, but the listing says remote.</t>
  </si>
  <si>
    <t xml:space="preserve">Zimmer Biomet</t>
  </si>
  <si>
    <t xml:space="preserve">2027 Summer Intern, Artificial Intelligence Product Management</t>
  </si>
  <si>
    <t xml:space="preserve">Remote, United States</t>
  </si>
  <si>
    <t xml:space="preserve">Product-manages an internal AI product in a regulated medtech setting, close to the regulatory AI agent she built at Pfizer.</t>
  </si>
  <si>
    <t xml:space="preserve">STRETCH: for current bachelor's/master's students, and she finishes May 2027. Remote anywhere in the US; requires US work authorization. No deadline or pay found. One aggregator suggested ~$30/hr for another ZB internship, but that's unconfirmed. Status uncertain: one source said it was posted about a year ago, others show recent updates (req 12745).</t>
  </si>
  <si>
    <t xml:space="preserve">Cadence (Cadence Solutions)</t>
  </si>
  <si>
    <t xml:space="preserve">Product Management Intern - Summer 2027</t>
  </si>
  <si>
    <t xml:space="preserve">$55/hr</t>
  </si>
  <si>
    <t xml:space="preserve">Clinical AI startup for remote chronic-care monitoring. Strong pay and a direct fit with her AI agent and clinical data work.</t>
  </si>
  <si>
    <t xml:space="preserve">STRETCH: Cadence's university page wants grads from Dec 2027 or May 2028, and she graduates May 2027, so she's likely ineligible. Worth a note to the recruiter about the BS/MS program. 12 weeks. The MIT mirror expired 22 Oct 2026, but the Greenhouse posting was still tracked as live ~3 weeks ago.</t>
  </si>
  <si>
    <t xml:space="preserve">Highmark Health</t>
  </si>
  <si>
    <t xml:space="preserve">Summer 2027 Population Health Analytics Graduate Intern</t>
  </si>
  <si>
    <t xml:space="preserve">Remote (Work from Home), US</t>
  </si>
  <si>
    <t xml:space="preserve">Remote claims and EMR analytics. Directly extends her Jefferson Health clinical research data work.</t>
  </si>
  <si>
    <t xml:space="preserve">STRETCH: for graduate students, and her MS ends May 2027. Pay not listed. Requires US work authorization. Remote per Himalayas; another aggregator didn't confirm remote. No deadline found. Link is an aggregator; confirm on Highmark careers.</t>
  </si>
  <si>
    <t xml:space="preserve">Summer 2027 Data Science R&amp;D Graduate Intern</t>
  </si>
  <si>
    <t xml:space="preserve">Remote, USA only</t>
  </si>
  <si>
    <t xml:space="preserve">Remote healthcare data science R&amp;D using Python/R modeling on payer and health data at a large Pennsylvania health system.</t>
  </si>
  <si>
    <t xml:space="preserve">STRETCH: graduate-student internship, so the same enrollment risk applies after May 2027. USA-only remote with no sponsorship. Pay and deadline not listed. Found only via Remotive; I couldn't confirm the exact 2027 title on Highmark's site. Medium confidence.</t>
  </si>
  <si>
    <t xml:space="preserve">Clinical Pharmacology and Pharmacometrics Intern – Summer 2027</t>
  </si>
  <si>
    <t xml:space="preserve">Spring House, PA / Raritan / Titusville, NJ / Cambridge, MA / La Jolla, CA</t>
  </si>
  <si>
    <t xml:space="preserve">Computational R and Python modeling of drug data builds on her computational biology and data-analyst work.</t>
  </si>
  <si>
    <t xml:space="preserve">Stretch: pharmacometrics often favors PharmD or PhD students. Needs at least 12 weeks between May and Sep 2027. Official Workday link; no deadline seen.</t>
  </si>
  <si>
    <t xml:space="preserve">Johnson &amp; Johnson</t>
  </si>
  <si>
    <t xml:space="preserve">Global Operations Leadership Development Program (GOLD) – Class of 2027</t>
  </si>
  <si>
    <t xml:space="preserve">Multiple US incl. New Brunswick, Raritan, Titusville, Somerset NJ; Horsham, Malvern, Spring House PA; Santa Clara CA; Danvers MA</t>
  </si>
  <si>
    <t xml:space="preserve">A 2.5-year rotational program at a big-name company that accepts degrees earned by June 2027; analytics-heavy supply-chain rotations.</t>
  </si>
  <si>
    <t xml:space="preserve">Stretch: supply chain rather than her core area. Requires a bachelor's earned Dec 2022–Jun 2027 and GPA 3.4+, which she meets. Location is assigned by rotation. Deadline not seen; official posting.</t>
  </si>
  <si>
    <t xml:space="preserve">2027 Future Talent Program – Marketing Strategy &amp; Project Management Co-op</t>
  </si>
  <si>
    <t xml:space="preserve">Unknown (Merck US)</t>
  </si>
  <si>
    <t xml:space="preserve">Marketing strategy plus project management combines her PM internship with her commercial interest.</t>
  </si>
  <si>
    <t xml:space="preserve">Merck co-ops run 4–6 months, so the timing may clash with her May 2027 graduation; term dates were not seen. Aggregator link.</t>
  </si>
  <si>
    <t xml:space="preserve">2027 Future Talent Program – Pharmacovigilance Operations / Global Process Enablement Intern</t>
  </si>
  <si>
    <t xml:space="preserve">Safety and process-enablement work suits her regulatory QA automation experience.</t>
  </si>
  <si>
    <t xml:space="preserve">Aggregator only; no deadline or location. Returning-student requirement.</t>
  </si>
  <si>
    <t xml:space="preserve">Undergrad Intern – Business Development (Summer 2027)</t>
  </si>
  <si>
    <t xml:space="preserve">Thousand Oaks, CA</t>
  </si>
  <si>
    <t xml:space="preserve">Supporting deal teams on M&amp;A, partnerships and licensing is exactly the BD work her VC-database and Orphan Therapeutics work point toward.</t>
  </si>
  <si>
    <t xml:space="preserve">Stretch: Thousand Oaks is outside her location tiers. Official posting R-254845, posted Sep 7, 2026; rolling review; requires an enrolled bachelor's student (returning-student risk).</t>
  </si>
  <si>
    <t xml:space="preserve">Moderna</t>
  </si>
  <si>
    <t xml:space="preserve">Intern, Biometrics (Summer 2027)</t>
  </si>
  <si>
    <t xml:space="preserve">AI and clinical-data analytics on the Statistical Innovation &amp; Data Analytics team; she has clinical data and AI-agent experience.</t>
  </si>
  <si>
    <t xml:space="preserve">Runs Jun 7–Aug 20, 2027. Likely favors stats or grad students, so it is a stretch. A guide expects Moderna's 2027 postings to close around mid-November 2026 (rolling). Aggregator link; Moderna Workday page not seen.</t>
  </si>
  <si>
    <t xml:space="preserve">Eli Lilly</t>
  </si>
  <si>
    <t xml:space="preserve">2027 Summer Internship – Business Insights &amp; Analytics (Data Scientist / Data Engineering)</t>
  </si>
  <si>
    <t xml:space="preserve">Indianapolis, IN</t>
  </si>
  <si>
    <t xml:space="preserve">A commercial analytics team at a big-name company that uses her Python, SQL and R.</t>
  </si>
  <si>
    <t xml:space="preserve">Stretch: Indianapolis is outside her tiers. Undergraduate eligibility not stated in the results. Aggregator listing; verify on careers.lilly.com. Guides say most programs recruit through November 2026.</t>
  </si>
  <si>
    <t xml:space="preserve">AstraZeneca</t>
  </si>
  <si>
    <t xml:space="preserve">Undergraduate Summer Internships – Frederick, MD (incl. Data Science track)</t>
  </si>
  <si>
    <t xml:space="preserve">Frederick, MD</t>
  </si>
  <si>
    <t xml:space="preserve">A data science track at a big-name biologics site that fits her biotech MS plus analytics.</t>
  </si>
  <si>
    <t xml:space="preserve">Stretch: a manufacturing/operations site outside her tiers, and an undergraduate program (returning-student risk). Runs Jun 7–Aug 13, 2027. Official posting; no deadline seen. No US commercial 2027 internship from AstraZeneca found yet.</t>
  </si>
  <si>
    <t xml:space="preserve">Stryker</t>
  </si>
  <si>
    <t xml:space="preserve">Summer 2027 Internship – Regulatory Affairs (California)</t>
  </si>
  <si>
    <t xml:space="preserve">Fremont, CA (and other CA sites)</t>
  </si>
  <si>
    <t xml:space="preserve">$20–35/hr</t>
  </si>
  <si>
    <t xml:space="preserve">A regulatory affairs internship in the Bay Area that matches her regulatory focus; GPA 3.0+ needed and she has 3.75.</t>
  </si>
  <si>
    <t xml:space="preserve">Medtech, not pharma. The pay range dips below her $30 bar at the low end. Official Stryker posting; no deadline seen; may require returning to school.</t>
  </si>
  <si>
    <t xml:space="preserve">Anthropic</t>
  </si>
  <si>
    <t xml:space="preserve">Anthropic Fellows Program, The Anthropic Institute (Economics &amp; Policy)</t>
  </si>
  <si>
    <t xml:space="preserve">US/UK/Canada (exact location unknown)</t>
  </si>
  <si>
    <t xml:space="preserve">$3,850/week stipend (one source); Greenhouse copy shows $154,800/yr</t>
  </si>
  <si>
    <t xml:space="preserve">4-month paid policy/economics research fellowship at Anthropic; fits her analytics, Python and AI-economics interests.</t>
  </si>
  <si>
    <t xml:space="preserve">Greenhouse says rolling review for the next cohort, expected to start Jan 2027. A separate Anthropic post about the new Conceptual Reasoning Fellows track (econ/policy) gave an Oct 28 deadline (today), possibly a different track. Requires Python fluency and US/UK/CA work authorization; no visa sponsorship. Stretch: research-heavy, and it's a 4-month fellowship rather than a permanent job.</t>
  </si>
  <si>
    <t xml:space="preserve">Databricks</t>
  </si>
  <si>
    <t xml:space="preserve">Associate Product Manager, New Grad (2027 Start)</t>
  </si>
  <si>
    <t xml:space="preserve">San Francisco / Mountain View, CA (or Bellevue, WA)</t>
  </si>
  <si>
    <t xml:space="preserve">$133k–$150k + bonus + equity</t>
  </si>
  <si>
    <t xml:space="preserve">Bay Area 2027 APM for Fall 2026/Spring 2027 grads, at a data/AI platform that pitches health and life-sciences use cases.</t>
  </si>
  <si>
    <t xml:space="preserve">Official Databricks page. apmlist showed it open as of Oct 5, 2026; no deadline found. The posting asks for a BS/MS in CS or a related engineering field, a gap for a biotech degree (hence fit 3). Graduation timing matches.</t>
  </si>
  <si>
    <t xml:space="preserve">Stripe</t>
  </si>
  <si>
    <t xml:space="preserve">Product Manager: New Grad Accelerator</t>
  </si>
  <si>
    <t xml:space="preserve">New York / San Francisco / Seattle</t>
  </si>
  <si>
    <t xml:space="preserve">$120k–$180k (some listings); $178k–$230k SF</t>
  </si>
  <si>
    <t xml:space="preserve">12-month PM training program in NYC/SF that weighs what you've built (her AI agent, BioBridge) over years of experience.</t>
  </si>
  <si>
    <t xml:space="preserve">apmlist said this listing was still taking applications on Oct 5, 2026, but the 2026 cycle closed Apr 24, 2026, so it's unclear whether this requisition is for the 2027 cycle. Requires a CS or Engineering degree, a real gap. Low-to-moderate confidence.</t>
  </si>
  <si>
    <t xml:space="preserve">Disney (Disney Entertainment)</t>
  </si>
  <si>
    <t xml:space="preserve">Associate Product Manager Program (Summer 2027 cohort)</t>
  </si>
  <si>
    <t xml:space="preserve">Glendale / Los Angeles, CA</t>
  </si>
  <si>
    <t xml:space="preserve">2-year rotational APM with a Summer 2027 cohort start; consumer media product suits her content-creator background.</t>
  </si>
  <si>
    <t xml:space="preserve">Official Disney careers page. apmlist: open since Sept 15, 2026 and still open as of Oct 15; no deadline posted. LA isn't in her location tiers (stretch). Pay not shown in results.</t>
  </si>
  <si>
    <t xml:space="preserve">Atlassian</t>
  </si>
  <si>
    <t xml:space="preserve">Associate Product Manager Intern (Summer 2027, US)</t>
  </si>
  <si>
    <t xml:space="preserve">US (Pacific time zone)</t>
  </si>
  <si>
    <t xml:space="preserve">$42–$57/hr by US pay zone</t>
  </si>
  <si>
    <t xml:space="preserve">Well-paid US APM internship (possibly remote) at a major SaaS company.</t>
  </si>
  <si>
    <t xml:space="preserve">apmlist says the posting has been open since Sept 2, 2026; still listed as open in October by Extern. No visa sponsorship. Graduation requirement unconfirmed; it may require returning to school (risk, since she graduates May 2027). Link is apmlist's guide; the official Atlassian requisition didn't appear in results.</t>
  </si>
  <si>
    <t xml:space="preserve">Microsoft</t>
  </si>
  <si>
    <t xml:space="preserve">Product Manager Intern (Summer 2027)</t>
  </si>
  <si>
    <t xml:space="preserve">Redmond, WA or Mountain View, CA</t>
  </si>
  <si>
    <t xml:space="preserve">~$70.67/hr (user-reported, Mountain View)</t>
  </si>
  <si>
    <t xml:space="preserve">Big-name PM internship (Mountain View is tier 1) that uses her product and AI-agent experience.</t>
  </si>
  <si>
    <t xml:space="preserve">One listing shows a Redmond PM intern posted 2026-10-02 for summer 2027; a tracker lists a Mountain View one. A guide says the general posting isn't currently on the US site, so status is conflicting. Eligibility requires at least one school term remaining after the internship, a real risk for a May 2027 graduate. Link is the student careers hub, not a specific requisition.</t>
  </si>
  <si>
    <t xml:space="preserve">Publicis Health</t>
  </si>
  <si>
    <t xml:space="preserve">Product Intern (Summer 2027)</t>
  </si>
  <si>
    <t xml:space="preserve">New York, NY (also Irving, TX)</t>
  </si>
  <si>
    <t xml:space="preserve">$32–$36/hr</t>
  </si>
  <si>
    <t xml:space="preserve">NYC health-marketing agency internship that blends product with pharma communications, matching her biotech plus content background.</t>
  </si>
  <si>
    <t xml:space="preserve">Seen only in an aggregator summary (Jobright/intern-list); no direct URL appeared, so link is left blank. Search 'Publicis Health Product Intern Summer 2027' on Publicis Groupe careers. No deadline found. Likely requires returning to school (risk). Low-to-moderate confidence.</t>
  </si>
  <si>
    <t xml:space="preserve">Cadence (cadence.care)</t>
  </si>
  <si>
    <t xml:space="preserve">Product Management Intern (AI healthcare)</t>
  </si>
  <si>
    <t xml:space="preserve">United States</t>
  </si>
  <si>
    <t xml:space="preserve">Remote clinical-AI product internship on chronic-disease care, combining her clinical data work and AI-agent experience.</t>
  </si>
  <si>
    <t xml:space="preserve">A PM intern listing exists (dynamitejobs/remowork) but without dates or pay, so it's not confirmed for Summer 2027. One aggregator tied a Summer 2027 remote PM intern at $55/hr asking for a CS/Data Science-type degree, but $55/hr was confirmed only on Cadence's Summer 2027 SWE intern posting. Pay left blank. No direct ATS link found. Low confidence.</t>
  </si>
  <si>
    <t xml:space="preserve">Content &amp; Creator Growth Graduate (TikTok LIVE-AMS) – 2027 Start</t>
  </si>
  <si>
    <t xml:space="preserve">2027-start creator-acquisition grad role; as an 85k-follower creator she knows the creator side firsthand.</t>
  </si>
  <si>
    <t xml:space="preserve">Posted Oct 14, 2026 (Influencer Marketing Society board); no deadline seen. Requires a bachelor's in business ops, strategy, digital marketing or related. LA isn't in her location tiers. Aggregators show ~$72K–$144K for related TikTok grad roles, so pay is likely below $100k and left blank. Link is an aggregator; confirm on TikTok careers.</t>
  </si>
  <si>
    <t xml:space="preserve">Creator Partnerships Associate (Graduate)</t>
  </si>
  <si>
    <t xml:space="preserve">$72.2K–$121.6K</t>
  </si>
  <si>
    <t xml:space="preserve">Creator-commerce partnerships grad role asking for a business analytics or marketing degree; her creator brand-deal experience is directly relevant.</t>
  </si>
  <si>
    <t xml:space="preserve">Aggregator listing posted ~27 days before the search; not explicitly labelled 2027 start, so confirm the start date on TikTok careers. LA isn't in her tiers; low end of pay is below the bar. Moderate confidence it's open.</t>
  </si>
  <si>
    <t xml:space="preserve">Revolut</t>
  </si>
  <si>
    <t xml:space="preserve">Graduate Product Owner 2027 (Technical / UX)</t>
  </si>
  <si>
    <t xml:space="preserve">London 2027 grad product role that asks for prior PM/tech internship experience, which she has (OTA PM intern, Pfizer).</t>
  </si>
  <si>
    <t xml:space="preserve">Seen only in a search summary (graduated 2025–2027; first-class STEM degree; prior PM/tech internship). No URL appeared, so link is blank; check revolut.com/careers. Visa sponsorship unknown. The 'first-class' requirement maps loosely to her 3.75 GPA. Low-to-moderate confidence on status.</t>
  </si>
  <si>
    <t xml:space="preserve">2027 Client and Product Graduate Rotational Program – EMEA</t>
  </si>
  <si>
    <t xml:space="preserve">2.5-year London rotation across Client Business and Global Product Solutions; uses her financial modeling and analytics skills.</t>
  </si>
  <si>
    <t xml:space="preserve">Official BlackRock careers page. No deadline seen; a pre-interview assessment must be done within 5 days of the email. UK work authorization/visa not confirmed. This is a finance product role, not tech or health, so it's a stretch for her product focus.</t>
  </si>
  <si>
    <t xml:space="preserve">2027 Private Equity Infrastructure &amp; Real Assets Summer Analyst</t>
  </si>
  <si>
    <t xml:space="preserve">$95,000 annualized (aggregator)</t>
  </si>
  <si>
    <t xml:space="preserve">Private-markets fund and co-invest analysis in NYC; a stretch because the sector is infrastructure, not life sciences.</t>
  </si>
  <si>
    <t xml:space="preserve">Same grad-window risk (Dec 2027–Jun 2028). Pay is from an aggregator. Stretch on sector.</t>
  </si>
  <si>
    <t xml:space="preserve">2027 Real Estate Investments Summer Analyst</t>
  </si>
  <si>
    <t xml:space="preserve">$83,200 annualized (aggregator)</t>
  </si>
  <si>
    <t xml:space="preserve">Bay Area private-markets internship that pays above the bar; a stretch on sector.</t>
  </si>
  <si>
    <t xml:space="preserve">Aggregator-only source; the posting may be about 180 days old. Grad-window risk. Low-moderate confidence it's open.</t>
  </si>
  <si>
    <t xml:space="preserve">Volition Capital</t>
  </si>
  <si>
    <t xml:space="preserve">2027 Analyst (two-year growth equity analyst program)</t>
  </si>
  <si>
    <t xml:space="preserve">Entry-level growth-equity role that expects routine use of AI tools for research and outreach, which matches her AI-agent work.</t>
  </si>
  <si>
    <t xml:space="preserve">Boston is tier 2, and the focus is software and tech, not bio. One listing mentioned a Class of 2026 requirement, so check that 2027 grads are eligible. Posting appears recent on Built In Boston (job 10892197). No deadline found.</t>
  </si>
  <si>
    <t xml:space="preserve">Turn/River Capital</t>
  </si>
  <si>
    <t xml:space="preserve">Investment Analyst (2027)</t>
  </si>
  <si>
    <t xml:space="preserve">$145,000–$155,000</t>
  </si>
  <si>
    <t xml:space="preserve">SF two-year analyst program starting Aug 2027 that accepts non-finance majors, with high pay.</t>
  </si>
  <si>
    <t xml:space="preserve">Likely closed: one copy (career.com) shows a window of 5/30–6/28/2026, though the Ashby page was still indexed. Software PE, not healthcare. Low confidence it's open.</t>
  </si>
  <si>
    <t xml:space="preserve">Founders Circle Capital</t>
  </si>
  <si>
    <t xml:space="preserve">Venture Capital Summer Analyst (Summer 2027)</t>
  </si>
  <si>
    <t xml:space="preserve">10-week in-person growth-stage VC internship in SF.</t>
  </si>
  <si>
    <t xml:space="preserve">Eligibility risk: wants undergrads graduating Dec 2027 or Spring 2028, and she graduates May 2027. No deadline seen. Source is a university career-site copy; no ATS link found.</t>
  </si>
  <si>
    <t xml:space="preserve">Battery Ventures</t>
  </si>
  <si>
    <t xml:space="preserve">2027 Summer Investment Internship</t>
  </si>
  <si>
    <t xml:space="preserve">Boston, MA / New York, NY / San Francisco, CA</t>
  </si>
  <si>
    <t xml:space="preserve">Up to $2,500/week (aggregators)</t>
  </si>
  <si>
    <t xml:space="preserve">Paid top-tier VC/growth internship in her tier-1 cities, with a mentor and a full-time path.</t>
  </si>
  <si>
    <t xml:space="preserve">Major eligibility risk: targets the class of 2028; one version is Boston-only and buyout-focused. GPA 3.5+ required (she has 3.75). Posting dates on aggregators go back to Jan 2026, so the status is uncertain.</t>
  </si>
  <si>
    <t xml:space="preserve">Cambridge Associates</t>
  </si>
  <si>
    <t xml:space="preserve">2027 Summer Analyst Internship Program</t>
  </si>
  <si>
    <t xml:space="preserve">Boston, MA / San Francisco, CA (also Arlington, VA and Dallas, TX)</t>
  </si>
  <si>
    <t xml:space="preserve">Private-investment advisory work, including manager research across VC and PE funds.</t>
  </si>
  <si>
    <t xml:space="preserve">For rising seniors in the class of 2028, which is an eligibility risk. No deadline in the results; campus fireside chats for the 2027 cycle were scheduled. Aggregator link.</t>
  </si>
  <si>
    <t xml:space="preserve">Neuberger Berman</t>
  </si>
  <si>
    <t xml:space="preserve">Institutional Client Group Summer Internship (2027)</t>
  </si>
  <si>
    <t xml:space="preserve">Client-facing, IR-style seat at a large private-markets manager in NYC; her content and communication skills help here.</t>
  </si>
  <si>
    <t xml:space="preserve">Interns can be considered for a full-time rotational program starting the following summer, which assumes she returns to school (risk). No deadline seen; Neuberger's program page shows some 2027 tracks as 'Opens TBC'.</t>
  </si>
  <si>
    <t xml:space="preserve">Neuberger Berman (Almanac Realty Investors)</t>
  </si>
  <si>
    <t xml:space="preserve">Almanac Realty Group Summer 2027 Internship</t>
  </si>
  <si>
    <t xml:space="preserve">Growth-capital private-markets internship on Neuberger's own Workday site.</t>
  </si>
  <si>
    <t xml:space="preserve">Real estate, not healthcare, so a stretch. Location not shown in results. Posted about 69 days before the search; no deadline seen.</t>
  </si>
  <si>
    <t xml:space="preserve">Blackstone Life Sciences</t>
  </si>
  <si>
    <t xml:space="preserve">Blackstone Life Sciences, Analyst</t>
  </si>
  <si>
    <t xml:space="preserve">Life-sciences investing (royalty, equity and debt deals with valuation modeling), which matches her biotech degree and Pfizer experience.</t>
  </si>
  <si>
    <t xml:space="preserve">Stretch: listings ask for 1+ years of life-sciences IB, consulting or pharma experience; her internships may not count. A separate BXLS Finance Analyst req (Workday _41830) asks for 1+ year in asset management or financial services. Not a 2027 new-grad program, and the posting date is unclear. Low-moderate confidence.</t>
  </si>
  <si>
    <t xml:space="preserve">Graham Partners</t>
  </si>
  <si>
    <t xml:space="preserve">Private Equity Investment Team 2027 Summer Analyst (Rising Senior, Class of 2028)</t>
  </si>
  <si>
    <t xml:space="preserve">10-week PE internship with a possible full-time offer.</t>
  </si>
  <si>
    <t xml:space="preserve">Major eligibility risk: Class of 2028 only. Location not shown in results. Open status not confirmed. Low confidence.</t>
  </si>
  <si>
    <t xml:space="preserve">Apollo Global Management</t>
  </si>
  <si>
    <t xml:space="preserve">2027 Summer Analyst (Class of 2028 postings)</t>
  </si>
  <si>
    <t xml:space="preserve">$90,000–$100,000 annualized (third-party guide)</t>
  </si>
  <si>
    <t xml:space="preserve">Top-brand alternatives firm with summer analyst postings still live in early October.</t>
  </si>
  <si>
    <t xml:space="preserve">Weak lead: only a third-party guide says two Class of 2028 summer analyst postings were live as of Oct 2, 2026. No ATS link seen, and the NYC location is assumed from Apollo's HQ. Class of 2028 eligibility risk. Low confidence; check apollo.com/careers.</t>
  </si>
</sst>
</file>

<file path=xl/styles.xml><?xml version="1.0" encoding="utf-8"?>
<styleSheet xmlns="http://schemas.openxmlformats.org/spreadsheetml/2006/main">
  <numFmts count="3">
    <numFmt numFmtId="164" formatCode="General"/>
    <numFmt numFmtId="165" formatCode="mmm\ d&quot;, &quot;yyyy"/>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color rgb="FFFFFFFF"/>
      <name val="Arial"/>
      <family val="0"/>
      <charset val="1"/>
    </font>
    <font>
      <sz val="10"/>
      <name val="Arial"/>
      <family val="0"/>
      <charset val="1"/>
    </font>
    <font>
      <b val="true"/>
      <sz val="11"/>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A5F"/>
          <bgColor rgb="FF000000"/>
        </patternFill>
      </fill>
    </dxf>
    <dxf>
      <fill>
        <patternFill patternType="solid">
          <fgColor rgb="FFF4CCCC"/>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0B5132"/>
          <bgColor rgb="FF000000"/>
        </patternFill>
      </fill>
    </dxf>
    <dxf>
      <fill>
        <patternFill>
          <bgColor rgb="FFD9EAD3"/>
        </patternFill>
      </fill>
    </dxf>
    <dxf>
      <font>
        <name val="Arial"/>
        <charset val="1"/>
        <family val="0"/>
        <color rgb="FF9E9E9E"/>
      </font>
    </dxf>
    <dxf>
      <font>
        <name val="Arial"/>
        <charset val="1"/>
        <family val="0"/>
        <strike val="1"/>
        <color rgb="FF9E9E9E"/>
      </font>
    </dxf>
    <dxf>
      <fill>
        <patternFill>
          <bgColor rgb="FFF4CCCC"/>
        </patternFill>
      </fill>
    </dxf>
    <dxf>
      <fill>
        <patternFill>
          <bgColor rgb="FFFFF2CC"/>
        </patternFill>
      </fill>
    </dxf>
    <dxf>
      <font>
        <name val="Arial"/>
        <charset val="1"/>
        <family val="0"/>
        <b val="1"/>
        <color rgb="FF0B513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E9E9E"/>
      <rgbColor rgb="FF1F3A5F"/>
      <rgbColor rgb="FF339966"/>
      <rgbColor rgb="FF0B5132"/>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jobs.hireheroesusa.org/jobs/619784083-associate-health-care-heor-epidemiology-market-access-2027-start-date-at-analysis-group" TargetMode="External"/><Relationship Id="rId2" Type="http://schemas.openxmlformats.org/officeDocument/2006/relationships/hyperlink" Target="https://bebee.com/us/jobs/campus-recruiting-2027-investment-banking-analyst-healthcare-piper-sandler-ltd-new-york--predictleads-3741af5a-c944-4fd8-861a-8d82f19e2aed" TargetMode="External"/><Relationship Id="rId3" Type="http://schemas.openxmlformats.org/officeDocument/2006/relationships/hyperlink" Target="https://job-boards.greenhouse.io/clearviewhealthcarepartners/jobs/5424509008" TargetMode="External"/><Relationship Id="rId4" Type="http://schemas.openxmlformats.org/officeDocument/2006/relationships/hyperlink" Target="https://job-boards.greenhouse.io/clearviewhealthcarepartners" TargetMode="External"/><Relationship Id="rId5" Type="http://schemas.openxmlformats.org/officeDocument/2006/relationships/hyperlink" Target="https://job-boards.greenhouse.io/roivantsciences/jobs/8099164" TargetMode="External"/><Relationship Id="rId6" Type="http://schemas.openxmlformats.org/officeDocument/2006/relationships/hyperlink" Target="https://careers.iawomen.com/job/2027-future-talent-program-regulatory-chemistry-manufacturing-and-controls-intern-2" TargetMode="External"/><Relationship Id="rId7" Type="http://schemas.openxmlformats.org/officeDocument/2006/relationships/hyperlink" Target="https://hitmarker.net/jobs/roblox-2027-associate-product-manager-early-career-4683531" TargetMode="External"/><Relationship Id="rId8" Type="http://schemas.openxmlformats.org/officeDocument/2006/relationships/hyperlink" Target="https://blackstone.wd1.myworkdayjobs.com/en-US/Blackstone_Campus_Careers/job/XMLNAME-2027-Blackstone-Tactical-Opportunities-Summer-Analyst--London-_43179" TargetMode="External"/><Relationship Id="rId9" Type="http://schemas.openxmlformats.org/officeDocument/2006/relationships/hyperlink" Target="https://blackstone.wd1.myworkdayjobs.com/en-US/blackstone_campus_careers/job/Berkeley-Square-House-London/XMLNAME-2027-Blackstone-Private-Wealth-Summer-Analyst--London-_43183/apply/applyManually" TargetMode="External"/><Relationship Id="rId10" Type="http://schemas.openxmlformats.org/officeDocument/2006/relationships/hyperlink" Target="https://www.jpmorganchase.com/careers/explore-opportunities/programs/marketing-fulltime" TargetMode="External"/><Relationship Id="rId11" Type="http://schemas.openxmlformats.org/officeDocument/2006/relationships/hyperlink" Target="https://biopharma-careers.com/jobs/2027-future-talent-program-epidemiology-and-rwe-capabilities-analytics-intern-me-485996" TargetMode="External"/><Relationship Id="rId12" Type="http://schemas.openxmlformats.org/officeDocument/2006/relationships/hyperlink" Target="https://www.ziprecruiter.com/c/Mount-Sinai-Health-System/Job/Clinical-Research-Coordinator-I-(Dr-Kontorovichs-Lab)-Cardiovascular-Research-Institute/-in-New-York,NY?jid=3905035f81a9f024" TargetMode="External"/><Relationship Id="rId13" Type="http://schemas.openxmlformats.org/officeDocument/2006/relationships/hyperlink" Target="https://apply.deloitte.com/en_US/careers/JobDetail/Consultative-Offerings-Summer-Scholar-Enterprise-Strategy/364917" TargetMode="External"/><Relationship Id="rId14" Type="http://schemas.openxmlformats.org/officeDocument/2006/relationships/hyperlink" Target="https://xtalks.com/job/summer-2027-pfizer-global-supply-internship/" TargetMode="External"/><Relationship Id="rId15" Type="http://schemas.openxmlformats.org/officeDocument/2006/relationships/hyperlink" Target="https://bebee.com/us/jobs/2027-asset-management-investments-full-time-analyst-program-jp-morgan-new-york--pureheal-28528_25298_0029ad89842f6ca46f58eb319453786c" TargetMode="External"/><Relationship Id="rId16" Type="http://schemas.openxmlformats.org/officeDocument/2006/relationships/hyperlink" Target="https://pfizer.wd1.myworkdayjobs.com/PfizerCareers" TargetMode="External"/><Relationship Id="rId17" Type="http://schemas.openxmlformats.org/officeDocument/2006/relationships/hyperlink" Target="https://www.pfizer.com/en/about/careers/early-careers" TargetMode="External"/><Relationship Id="rId18" Type="http://schemas.openxmlformats.org/officeDocument/2006/relationships/hyperlink" Target="https://jobright.ai/jobs/info/6ac3ef458ff3fb9b3bc830c8" TargetMode="External"/><Relationship Id="rId19" Type="http://schemas.openxmlformats.org/officeDocument/2006/relationships/hyperlink" Target="https://www.careers.jnj.com/en/jobs/r-102105/2027-gd-us-summer-intern/" TargetMode="External"/><Relationship Id="rId20" Type="http://schemas.openxmlformats.org/officeDocument/2006/relationships/hyperlink" Target="https://prosple.com/graduate-employers/deloitte-usa/jobs-internships/consultative-offerings-summer-scholar-functional-operations-strategy" TargetMode="External"/><Relationship Id="rId21" Type="http://schemas.openxmlformats.org/officeDocument/2006/relationships/hyperlink" Target="https://dowjones.jobs/new-york-ny/summer-2027-internship-program-commercial-strategy-intern/9AC80BCE21494680A166FF01A3CFB5B7/job/" TargetMode="External"/><Relationship Id="rId22" Type="http://schemas.openxmlformats.org/officeDocument/2006/relationships/hyperlink" Target="https://jobs.military.com/career/361403/summer-2027-internship-program-business-product-strategy-intern-new-york-ny-new-york" TargetMode="External"/><Relationship Id="rId23" Type="http://schemas.openxmlformats.org/officeDocument/2006/relationships/hyperlink" Target="https://www.builtinnyc.com/job/summer-2027-internship-program-trade-marketing-and-content-intern/11174165" TargetMode="External"/><Relationship Id="rId24" Type="http://schemas.openxmlformats.org/officeDocument/2006/relationships/hyperlink" Target="https://careers.veeva.com/job/2d2cce21-bba9-42e7-b1b8-e5cf83ebe4c2/marketing-analytics-client-services-associate-july-2027-start-date-adp-new-york-city-ny/" TargetMode="External"/><Relationship Id="rId25" Type="http://schemas.openxmlformats.org/officeDocument/2006/relationships/hyperlink" Target="https://www.brightnetwork.co.uk/graduate-jobs/fidelity-international/equity-research-graduate-programme-2027" TargetMode="External"/><Relationship Id="rId26" Type="http://schemas.openxmlformats.org/officeDocument/2006/relationships/hyperlink" Target="https://www.nexxt.com/jobs/pfizer-statistics-summer-internship-2027-new-york-ny-3453244283-job.html" TargetMode="External"/><Relationship Id="rId27" Type="http://schemas.openxmlformats.org/officeDocument/2006/relationships/hyperlink" Target="https://www.ziprecruiter.co.uk/jobs/627160861-analyst-intern-health-care-heor-epidemiology-market-access-london-2027-start-date-at-analysis-group-inc" TargetMode="External"/><Relationship Id="rId28" Type="http://schemas.openxmlformats.org/officeDocument/2006/relationships/hyperlink" Target="https://jobs.zs.com/jobs/68243?lang=en-us" TargetMode="External"/><Relationship Id="rId29" Type="http://schemas.openxmlformats.org/officeDocument/2006/relationships/hyperlink" Target="https://careerservices.fas.harvard.edu/jobs/mac-cosmetics-the-estee-lauder-companies-lauder-summer-2027-intern-marketing/" TargetMode="External"/><Relationship Id="rId30" Type="http://schemas.openxmlformats.org/officeDocument/2006/relationships/hyperlink" Target="https://career.eoss.asu.edu/jobs/bristol-myers-squibb-commercialization-intern-summer-2027/" TargetMode="External"/><Relationship Id="rId31" Type="http://schemas.openxmlformats.org/officeDocument/2006/relationships/hyperlink" Target="https://opportunities.columbia.edu/jobs/clinical-research-coordinator-i-columbia-university-medical-center-new-york-united-states-9fb5d5db-569e-46fc-83e7-f30cfc6770c5" TargetMode="External"/><Relationship Id="rId32" Type="http://schemas.openxmlformats.org/officeDocument/2006/relationships/hyperlink" Target="https://careerservices.fas.harvard.edu/jobs/bristol-myers-squibb-2027-summer-intern-global-procurement/" TargetMode="External"/><Relationship Id="rId33" Type="http://schemas.openxmlformats.org/officeDocument/2006/relationships/hyperlink" Target="https://jobs.sanofi.com/en/job/cambridge/2027-summer-internship-opportunities-cambridge-ma/2649/44484657408" TargetMode="External"/><Relationship Id="rId34" Type="http://schemas.openxmlformats.org/officeDocument/2006/relationships/hyperlink" Target="https://jobs.sanofi.com/en/job/morristown/2027-summer-intern-commercial-graduate-program-associate-general-medicines-morristown-nj/2649/44714320832" TargetMode="External"/><Relationship Id="rId35" Type="http://schemas.openxmlformats.org/officeDocument/2006/relationships/hyperlink" Target="https://jobs.biospace.com/job/3074971/2027-summer-intern-commercial-graduate-program-associate-vaccines-morristown-nj/?TrackID=22" TargetMode="External"/><Relationship Id="rId36" Type="http://schemas.openxmlformats.org/officeDocument/2006/relationships/hyperlink" Target="https://www.google.com/about/careers/applications/jobs/results/132296786214560454-business-intern-2027-english" TargetMode="External"/><Relationship Id="rId37" Type="http://schemas.openxmlformats.org/officeDocument/2006/relationships/hyperlink" Target="https://careers.newyorklife.com/careers/job/44683320-2027-business-strategy-operations-summer-internship-new-york-new-york-united-states?domain=newyorklife.com&amp;microsite=newyorklife.com" TargetMode="External"/><Relationship Id="rId38" Type="http://schemas.openxmlformats.org/officeDocument/2006/relationships/hyperlink" Target="https://bebee.com/us/jobs/2027-capital-markets-advisory-equity-capital-markets-full-time-analyst-program-new-york-evercore--ss-us-4bc3ma" TargetMode="External"/><Relationship Id="rId39" Type="http://schemas.openxmlformats.org/officeDocument/2006/relationships/hyperlink" Target="https://simplify.jobs/p/405942e7-3d3e-4723-af05-93553144a8b7/2027-Capital-Markets-Advisory-Private-Capital-Markets" TargetMode="External"/><Relationship Id="rId40" Type="http://schemas.openxmlformats.org/officeDocument/2006/relationships/hyperlink" Target="https://www.iagora.com/work/en/offer/internship-united-kingdom-industry/6427583" TargetMode="External"/><Relationship Id="rId41" Type="http://schemas.openxmlformats.org/officeDocument/2006/relationships/hyperlink" Target="https://www.careers.jnj.com/en/jobs/r-101873/global-market-access-summer-associate/" TargetMode="External"/><Relationship Id="rId42" Type="http://schemas.openxmlformats.org/officeDocument/2006/relationships/hyperlink" Target="https://jefferies.tal.net/vx/mobile-0/appcentre-1/brand-4/candidate/jobboard/vacancy/2" TargetMode="External"/><Relationship Id="rId43" Type="http://schemas.openxmlformats.org/officeDocument/2006/relationships/hyperlink" Target="https://jobs.ashbyhq.com/kleinerperkinsfellows/ae095fcc-c38e-4c41-814d-b562f05fa776" TargetMode="External"/><Relationship Id="rId44" Type="http://schemas.openxmlformats.org/officeDocument/2006/relationships/hyperlink" Target="https://jobs.ashbyhq.com/mercor/b560990b-6743-4db3-8953-98d5f55e4af1/application" TargetMode="External"/><Relationship Id="rId45" Type="http://schemas.openxmlformats.org/officeDocument/2006/relationships/hyperlink" Target="https://jobs.iqvia.com/en/jobs/R1571091-0" TargetMode="External"/><Relationship Id="rId46" Type="http://schemas.openxmlformats.org/officeDocument/2006/relationships/hyperlink" Target="https://workopia.io/jobs/44ee34158907f0d0691abad7cee97f18" TargetMode="External"/><Relationship Id="rId47" Type="http://schemas.openxmlformats.org/officeDocument/2006/relationships/hyperlink" Target="https://www.disabledperson.com/jobs/76186389-2027-investment-banking-analyst-healthcare-biotech" TargetMode="External"/><Relationship Id="rId48" Type="http://schemas.openxmlformats.org/officeDocument/2006/relationships/hyperlink" Target="https://www.pfizer.com/en/about/careers/early-careers" TargetMode="External"/><Relationship Id="rId49" Type="http://schemas.openxmlformats.org/officeDocument/2006/relationships/hyperlink" Target="https://zapply.jobs/jobs/0f5edaef-1f9f-41c5-93c0-90c44176a289/" TargetMode="External"/><Relationship Id="rId50" Type="http://schemas.openxmlformats.org/officeDocument/2006/relationships/hyperlink" Target="https://jobs.menlovc.com/companies/solace-2-4abaad68-dd81-407a-9e72-d82d75167901/jobs/91147539-influencer-marketing-associate-college-grad-2027" TargetMode="External"/><Relationship Id="rId51" Type="http://schemas.openxmlformats.org/officeDocument/2006/relationships/hyperlink" Target="https://jobs.ashbyhq.com/candidhealth/9a33f09d-5cd1-424d-ada2-426bc1570e54" TargetMode="External"/><Relationship Id="rId52" Type="http://schemas.openxmlformats.org/officeDocument/2006/relationships/hyperlink" Target="https://careers.google.com/jobs/results/121628144896484038-customer-growth-associate/" TargetMode="External"/><Relationship Id="rId53" Type="http://schemas.openxmlformats.org/officeDocument/2006/relationships/hyperlink" Target="https://jobs.uber.com/en/jobs/302521/" TargetMode="External"/><Relationship Id="rId54" Type="http://schemas.openxmlformats.org/officeDocument/2006/relationships/hyperlink" Target="https://jobs.ashbyhq.com/whatnot/f07d5c56-4e0e-4ee9-8fa4-e4d048cac9a6" TargetMode="External"/><Relationship Id="rId55" Type="http://schemas.openxmlformats.org/officeDocument/2006/relationships/hyperlink" Target="https://lifeattiktok.com/search/7673910154845014325" TargetMode="External"/><Relationship Id="rId56" Type="http://schemas.openxmlformats.org/officeDocument/2006/relationships/hyperlink" Target="https://careers.americanexpress.com/" TargetMode="External"/><Relationship Id="rId57" Type="http://schemas.openxmlformats.org/officeDocument/2006/relationships/hyperlink" Target="https://zapply.jobs/jobs/7071996a-5d35-4ade-bbfe-3890efe9fed6/" TargetMode="External"/><Relationship Id="rId58" Type="http://schemas.openxmlformats.org/officeDocument/2006/relationships/hyperlink" Target="https://jobs.merck.com/us/en/job/R413266/2027-Future-Talent-Program-Study-Management-Intern" TargetMode="External"/><Relationship Id="rId59" Type="http://schemas.openxmlformats.org/officeDocument/2006/relationships/hyperlink" Target="https://zapply.jobs/jobs/32f33791-2f6e-46ab-ac2b-ed18f2ad473e/" TargetMode="External"/><Relationship Id="rId60" Type="http://schemas.openxmlformats.org/officeDocument/2006/relationships/hyperlink" Target="https://guidehouse.wd1.myworkdayjobs.com/en-US/External/job/US---NY-New-York/Consulting-Analyst---Life-Sciences-Advisory--Health-Segment---Campus-2027_45253" TargetMode="External"/><Relationship Id="rId61" Type="http://schemas.openxmlformats.org/officeDocument/2006/relationships/hyperlink" Target="https://hiringcafe.com/job/point72-academy-investment-analyst-program-for-upcoming-graduates-us-rili6pk3ajte360e" TargetMode="External"/><Relationship Id="rId62" Type="http://schemas.openxmlformats.org/officeDocument/2006/relationships/hyperlink" Target="https://www.citadel.com/careers/investing/citadel-associate-program/" TargetMode="External"/><Relationship Id="rId63" Type="http://schemas.openxmlformats.org/officeDocument/2006/relationships/hyperlink" Target="https://www.internships.com/posting/global-reg-affairs-intern-johnson-johnson-innovative-medicine-478714329" TargetMode="External"/><Relationship Id="rId64" Type="http://schemas.openxmlformats.org/officeDocument/2006/relationships/hyperlink" Target="https://zapply.jobs/jobs/b511fa5c-5992-4944-a155-e9b679af7d4c/" TargetMode="External"/><Relationship Id="rId65" Type="http://schemas.openxmlformats.org/officeDocument/2006/relationships/hyperlink" Target="https://github.com/gurjevanbhatti/Job-Applications/issues/1884" TargetMode="External"/><Relationship Id="rId66" Type="http://schemas.openxmlformats.org/officeDocument/2006/relationships/hyperlink" Target="https://job-boards.greenhouse.io/flagshippioneeringinc/jobs/8580062002?gh_jid=8580062002" TargetMode="External"/><Relationship Id="rId67" Type="http://schemas.openxmlformats.org/officeDocument/2006/relationships/hyperlink" Target="https://www.coinbase.com/careers/positions/8168322" TargetMode="External"/><Relationship Id="rId68" Type="http://schemas.openxmlformats.org/officeDocument/2006/relationships/hyperlink" Target="https://www.pfizer.com/en/about/careers/digital-interns" TargetMode="External"/><Relationship Id="rId69" Type="http://schemas.openxmlformats.org/officeDocument/2006/relationships/hyperlink" Target="https://www.anthropic.com/claude-corps/fellow" TargetMode="External"/><Relationship Id="rId70" Type="http://schemas.openxmlformats.org/officeDocument/2006/relationships/hyperlink" Target="https://careers.blackrock.com/job/new-york/2027-full-time-analyst-program-amrs/45831/97843197536" TargetMode="External"/><Relationship Id="rId71" Type="http://schemas.openxmlformats.org/officeDocument/2006/relationships/hyperlink" Target="https://job-boards.greenhouse.io/bvpanalyst/jobs/4726962005" TargetMode="External"/><Relationship Id="rId72" Type="http://schemas.openxmlformats.org/officeDocument/2006/relationships/hyperlink" Target="https://job-boards.greenhouse.io/g2vp/jobs/5285648008" TargetMode="External"/><Relationship Id="rId73" Type="http://schemas.openxmlformats.org/officeDocument/2006/relationships/hyperlink" Target="https://www.goldmansachs.com/careers/students/programs-and-internships/americas/2027-summer-analyst-program" TargetMode="External"/><Relationship Id="rId74" Type="http://schemas.openxmlformats.org/officeDocument/2006/relationships/hyperlink" Target="https://www.goldmansachs.com/careers/students/programs-and-internships/americas/2027-summer-analyst-program" TargetMode="External"/><Relationship Id="rId75" Type="http://schemas.openxmlformats.org/officeDocument/2006/relationships/hyperlink" Target="https://www.builtinnyc.com/job/2027-private-equity-summer-analyst/9225253" TargetMode="External"/><Relationship Id="rId76" Type="http://schemas.openxmlformats.org/officeDocument/2006/relationships/hyperlink" Target="https://www.theladders.com/job/2027-management-trainee-program-digital-lorealusa-new-york-ny_88675061" TargetMode="External"/><Relationship Id="rId77" Type="http://schemas.openxmlformats.org/officeDocument/2006/relationships/hyperlink" Target="https://www.pgcareers.com/global/en/job/R000157482/Brand-Manager-2027-Undergrad-and-Master-s-Non-MBA" TargetMode="External"/><Relationship Id="rId78" Type="http://schemas.openxmlformats.org/officeDocument/2006/relationships/hyperlink" Target="https://interninsider.me/internships/american-express/campus-undergraduate-summer-internship-program-2027-marketing-operations-us-cons-aeb890e8-421a-4ea3-be10-0cd3f8183c41" TargetMode="External"/><Relationship Id="rId79" Type="http://schemas.openxmlformats.org/officeDocument/2006/relationships/hyperlink" Target="https://careers.blackrock.com/job/new-york/2027-summer-internship-program-amers/45831/90628276544" TargetMode="External"/><Relationship Id="rId80" Type="http://schemas.openxmlformats.org/officeDocument/2006/relationships/hyperlink" Target="https://adobe.wd5.myworkdayjobs.com/external_experienced/job/New-York/XMLNAME-2027-Intern---Digital-Strategy-Analyst_R171828" TargetMode="External"/><Relationship Id="rId81" Type="http://schemas.openxmlformats.org/officeDocument/2006/relationships/hyperlink" Target="https://prosple.com/graduate-employers/salesforce/jobs-internships/summer-2027-intern-product-gtm-strategy-0" TargetMode="External"/><Relationship Id="rId82" Type="http://schemas.openxmlformats.org/officeDocument/2006/relationships/hyperlink" Target="https://job-boards.greenhouse.io/assuredguaranty/jobs/8817699002?gh_jid=8817699002" TargetMode="External"/><Relationship Id="rId83" Type="http://schemas.openxmlformats.org/officeDocument/2006/relationships/hyperlink" Target="https://job-boards.greenhouse.io/perpay/jobs/4097884007" TargetMode="External"/><Relationship Id="rId84" Type="http://schemas.openxmlformats.org/officeDocument/2006/relationships/hyperlink" Target="https://careers.elcompanies.com/careers/job/1168275751295-lauder-summer-2027-intern-technology-data-analytics-new-york-us-ny-united-states" TargetMode="External"/><Relationship Id="rId85" Type="http://schemas.openxmlformats.org/officeDocument/2006/relationships/hyperlink" Target="https://www.pepsicojobs.com/main/jobs/471794?lang=en-us" TargetMode="External"/><Relationship Id="rId86" Type="http://schemas.openxmlformats.org/officeDocument/2006/relationships/hyperlink" Target="https://zapply.jobs/jobs/dd92c402-33af-4796-b511-fe5c1da2aff4/" TargetMode="External"/><Relationship Id="rId87" Type="http://schemas.openxmlformats.org/officeDocument/2006/relationships/hyperlink" Target="https://zapply.jobs/jobs/6c496e49-ce62-428b-a2dd-be9e05c418c2/" TargetMode="External"/><Relationship Id="rId88" Type="http://schemas.openxmlformats.org/officeDocument/2006/relationships/hyperlink" Target="https://zapply.jobs/jobs/0ce62d46-0ca6-47ce-bb34-5e256990bbf7/" TargetMode="External"/><Relationship Id="rId89" Type="http://schemas.openxmlformats.org/officeDocument/2006/relationships/hyperlink" Target="https://www.internships.com/posting/2027-future-talent-program-data-analytics-and-insights-intern-merck-1021000255" TargetMode="External"/><Relationship Id="rId90" Type="http://schemas.openxmlformats.org/officeDocument/2006/relationships/hyperlink" Target="https://jobs.merck.com/us/en/job/R416450/2027-Future-Talent-Program-Biostatistics-Intern" TargetMode="External"/><Relationship Id="rId91" Type="http://schemas.openxmlformats.org/officeDocument/2006/relationships/hyperlink" Target="https://careers.veeva.com/job/28c47d34-3ad6-4485-85a9-686b4239b9ea/marketing-analytics-data-analyst-july-2027-start-date-adp-new-york-city-ny/" TargetMode="External"/><Relationship Id="rId92" Type="http://schemas.openxmlformats.org/officeDocument/2006/relationships/hyperlink" Target="https://careers.veeva.com/job/ede654e5-8458-4cbc-8ec4-b7b768de168b/associate-business-consultant-life-sciences-analytics-new-york-city-ny/" TargetMode="External"/><Relationship Id="rId93" Type="http://schemas.openxmlformats.org/officeDocument/2006/relationships/hyperlink" Target="https://jobs.lever.co/veeva/24f12053-4af5-4d86-9329-4ed47dcbd6f4" TargetMode="External"/><Relationship Id="rId94" Type="http://schemas.openxmlformats.org/officeDocument/2006/relationships/hyperlink" Target="https://jobs.lever.co/veeva/909610da-99da-4e58-89a8-e3a0e998e6b7" TargetMode="External"/><Relationship Id="rId95" Type="http://schemas.openxmlformats.org/officeDocument/2006/relationships/hyperlink" Target="https://jobs.lever.co/veeva/093ee100-dfc8-4dc4-9a44-469eb2b1bd48" TargetMode="External"/><Relationship Id="rId96" Type="http://schemas.openxmlformats.org/officeDocument/2006/relationships/hyperlink" Target="https://careers.nyp.org/us/en/job/00888460/Summer-2027-Finance-Internship-Program-Financial-Planning" TargetMode="External"/><Relationship Id="rId97" Type="http://schemas.openxmlformats.org/officeDocument/2006/relationships/hyperlink" Target="https://careers.mountsinai.org/jobs/3041669?lang=en-us" TargetMode="External"/><Relationship Id="rId98" Type="http://schemas.openxmlformats.org/officeDocument/2006/relationships/hyperlink" Target="https://careers.mountsinai.org/jobs/3043444?lang=en-us" TargetMode="External"/><Relationship Id="rId99" Type="http://schemas.openxmlformats.org/officeDocument/2006/relationships/hyperlink" Target="https://opportunities.columbia.edu/jobs/clinical-research-coordinator-rheumatology-columbia-university-medical-center-new-york-united-states-38067608-a1f0-4dcd-8703-3d43f89b6105" TargetMode="External"/><Relationship Id="rId100" Type="http://schemas.openxmlformats.org/officeDocument/2006/relationships/hyperlink" Target="https://jobs.nyulangone.org/job/23531459/research-coordinator/" TargetMode="External"/><Relationship Id="rId101" Type="http://schemas.openxmlformats.org/officeDocument/2006/relationships/hyperlink" Target="https://massgeneralbrigham.wd1.myworkdayjobs.com/en-US/MGBExternal/job/Clinical-Research-Coordinator-I-II_RQ4069619" TargetMode="External"/><Relationship Id="rId102" Type="http://schemas.openxmlformats.org/officeDocument/2006/relationships/hyperlink" Target="https://careersearch.stanford.edu/hcmUI/CandidateExperience/en/sites/stanford/job/201264" TargetMode="External"/><Relationship Id="rId103" Type="http://schemas.openxmlformats.org/officeDocument/2006/relationships/hyperlink" Target="https://careers.ucsf.edu/careers/JobDetail/San-Francisco-CA-United-States/2893" TargetMode="External"/><Relationship Id="rId104" Type="http://schemas.openxmlformats.org/officeDocument/2006/relationships/hyperlink" Target="https://guidehouse.wd1.myworkdayjobs.com/en-US/External/job/Intern---Life-Sciences-Advisory--Health-Segment---Campus-2027_43306" TargetMode="External"/><Relationship Id="rId105" Type="http://schemas.openxmlformats.org/officeDocument/2006/relationships/hyperlink" Target="https://jobs.zs.com/jobs/63440?lang=en-us" TargetMode="External"/><Relationship Id="rId106" Type="http://schemas.openxmlformats.org/officeDocument/2006/relationships/hyperlink" Target="https://wellfound.com/jobs/4592902-life-science-summer-analyst-2027" TargetMode="External"/><Relationship Id="rId107" Type="http://schemas.openxmlformats.org/officeDocument/2006/relationships/hyperlink" Target="https://www.nablacareers.com/finance-jobs/millennium/north-america/research-analysis/equities-analyst-program-new-york/" TargetMode="External"/><Relationship Id="rId108" Type="http://schemas.openxmlformats.org/officeDocument/2006/relationships/hyperlink" Target="https://www.centerview.com/careers" TargetMode="External"/><Relationship Id="rId109" Type="http://schemas.openxmlformats.org/officeDocument/2006/relationships/hyperlink" Target="https://www.deshaw.com/careers/fundamental-research-analyst-intern-new-york-summer-2027-5709" TargetMode="External"/><Relationship Id="rId110" Type="http://schemas.openxmlformats.org/officeDocument/2006/relationships/hyperlink" Target="https://www.williamblair.com/investment-banking-careers/programs/" TargetMode="External"/><Relationship Id="rId111" Type="http://schemas.openxmlformats.org/officeDocument/2006/relationships/hyperlink" Target="https://higher.gs.com/campus?EXPERIENCE_LEVEL=Analyst&amp;page=1&amp;sort=RELEVANCE" TargetMode="External"/><Relationship Id="rId112" Type="http://schemas.openxmlformats.org/officeDocument/2006/relationships/hyperlink" Target="https://careers.bankofamerica.com/en-us/job-detail/26017824/analyst-associate-equity-research-biotech-new-york-new-york-united-states" TargetMode="External"/><Relationship Id="rId113" Type="http://schemas.openxmlformats.org/officeDocument/2006/relationships/hyperlink" Target="https://leerink.wd5.myworkdayjobs.com/en-US/leerinkpartners/job/USA-NY-New-York/Equity-Research-Associate---Immuno-Oncology_R00657" TargetMode="External"/><Relationship Id="rId114" Type="http://schemas.openxmlformats.org/officeDocument/2006/relationships/hyperlink" Target="https://jobs.managementconsulted.com/jobs/629645962-senior-consultant-life-sciences-advisory-health-segment-campus-2027" TargetMode="External"/><Relationship Id="rId115" Type="http://schemas.openxmlformats.org/officeDocument/2006/relationships/hyperlink" Target="https://higher.gs.com/campus?LOCATION=London&amp;page=1&amp;sort=RELEVANCE" TargetMode="External"/><Relationship Id="rId116" Type="http://schemas.openxmlformats.org/officeDocument/2006/relationships/hyperlink" Target="https://trinitylifesciences.wd108.myworkdayjobs.com/en-US/Trinity/job/Associate-Insights---London--Hybrid_JR100747" TargetMode="External"/><Relationship Id="rId117" Type="http://schemas.openxmlformats.org/officeDocument/2006/relationships/hyperlink" Target="https://jobs.smartrecruiters.com/PAConsulting/744000157050729-2027-graduate-consulting-rotational-programme-analyst-london" TargetMode="External"/><Relationship Id="rId118" Type="http://schemas.openxmlformats.org/officeDocument/2006/relationships/hyperlink" Target="https://search.jobs.barclays/job/london/banking-graduate-programme-2027-london/13015/99885319536" TargetMode="External"/><Relationship Id="rId119" Type="http://schemas.openxmlformats.org/officeDocument/2006/relationships/hyperlink" Target="https://www.blackbird.vc/careers-at-blackbird" TargetMode="External"/><Relationship Id="rId120" Type="http://schemas.openxmlformats.org/officeDocument/2006/relationships/hyperlink" Target="https://higher.gs.com/roles/155760" TargetMode="External"/><Relationship Id="rId121" Type="http://schemas.openxmlformats.org/officeDocument/2006/relationships/hyperlink" Target="https://fticonsulting.wd108.myworkdayjobs.com/en-US/FTIConsultingCareers/job/Sydney-Australia/XMLNAME-2027-Graduate-Program--Healthcare-Consulting_JR260603" TargetMode="External"/><Relationship Id="rId122" Type="http://schemas.openxmlformats.org/officeDocument/2006/relationships/hyperlink" Target="https://amgen.wd1.myworkdayjobs.com/Careers/job/United-States---Remote/Undergrad-intern---US-Value---Access--Summer-2027-_R-253424" TargetMode="External"/><Relationship Id="rId123" Type="http://schemas.openxmlformats.org/officeDocument/2006/relationships/hyperlink" Target="https://amgen.wd1.myworkdayjobs.com/careers/job/United-States---Remote/Undergrad-Intern---Digital-Product---Amgen-s-Technology---Medical-Organizations--Summer-2027-_R-255711" TargetMode="External"/><Relationship Id="rId124" Type="http://schemas.openxmlformats.org/officeDocument/2006/relationships/hyperlink" Target="https://www.purpose.jobs/discover/companies/horizon-3-409a3ab0-c43b-4adc-a802-a9237deec0f0/jobs/93273962-grad-intern-data-scientist-technology-ai-data-summer-2027" TargetMode="External"/><Relationship Id="rId125" Type="http://schemas.openxmlformats.org/officeDocument/2006/relationships/hyperlink" Target="https://careers.amgen.com/en/job/washington-d-c/undergrad-intern-finance-summer-2027/87/100035054864" TargetMode="External"/><Relationship Id="rId126" Type="http://schemas.openxmlformats.org/officeDocument/2006/relationships/hyperlink" Target="https://careers.zimmerbiomet.com/us/en/job/12745/2027-Summer-Intern-Artificial-Intelligence-Product-Management" TargetMode="External"/><Relationship Id="rId127" Type="http://schemas.openxmlformats.org/officeDocument/2006/relationships/hyperlink" Target="https://job-boards.greenhouse.io/solutions/jobs/4715294006" TargetMode="External"/><Relationship Id="rId128" Type="http://schemas.openxmlformats.org/officeDocument/2006/relationships/hyperlink" Target="https://himalayas.app/companies/highmark-health/jobs/summer-2027-population-health-analytics-graduate-intern" TargetMode="External"/><Relationship Id="rId129" Type="http://schemas.openxmlformats.org/officeDocument/2006/relationships/hyperlink" Target="https://remotive.com/remote/jobs/data/summer-2027-data-science-r-d-graduate-intern-6305375" TargetMode="External"/><Relationship Id="rId130" Type="http://schemas.openxmlformats.org/officeDocument/2006/relationships/hyperlink" Target="https://jj.wd5.myworkdayjobs.com/en-US/JJ/job/Clinical-Pharmacology-and-Pharmacometrics-Intern---Summer-2027_R-098266" TargetMode="External"/><Relationship Id="rId131" Type="http://schemas.openxmlformats.org/officeDocument/2006/relationships/hyperlink" Target="https://www.careers.jnj.com/en/jobs/r-094165/global-operations-leadership-development-program-gold-class-of-2027/" TargetMode="External"/><Relationship Id="rId132" Type="http://schemas.openxmlformats.org/officeDocument/2006/relationships/hyperlink" Target="https://zapply.jobs/jobs/ebe2b297-08d7-4093-ab14-601b656c22bd/" TargetMode="External"/><Relationship Id="rId133" Type="http://schemas.openxmlformats.org/officeDocument/2006/relationships/hyperlink" Target="https://biopharma-careers.com/jobs/2027-future-talent-program-pharmacovigilance-operations-global-process-enablemen-728434" TargetMode="External"/><Relationship Id="rId134" Type="http://schemas.openxmlformats.org/officeDocument/2006/relationships/hyperlink" Target="https://careers.amgen.com/en/job/thousand-oaks/undergrad-intern-business-development-thousand-oaks-ca-summer-2027/87/100291908288" TargetMode="External"/><Relationship Id="rId135" Type="http://schemas.openxmlformats.org/officeDocument/2006/relationships/hyperlink" Target="https://interninsider.me/internships/moderna/intern-biometrics-927b59f3-df88-4813-973f-7e99c4167c57" TargetMode="External"/><Relationship Id="rId136" Type="http://schemas.openxmlformats.org/officeDocument/2006/relationships/hyperlink" Target="https://utern.ai/companies/eli-lilly" TargetMode="External"/><Relationship Id="rId137" Type="http://schemas.openxmlformats.org/officeDocument/2006/relationships/hyperlink" Target="https://careers.astrazeneca.com/job/frederick/undergraduate-summer-internships-in-frederick-md/7684/101370898448" TargetMode="External"/><Relationship Id="rId138" Type="http://schemas.openxmlformats.org/officeDocument/2006/relationships/hyperlink" Target="https://careers.stryker.com/summer-2027-internship-regulatory-affairs-california/job/1B00A9C2F1EECA302F8E3DB13C6FBEE5" TargetMode="External"/><Relationship Id="rId139" Type="http://schemas.openxmlformats.org/officeDocument/2006/relationships/hyperlink" Target="https://job-boards.greenhouse.io/anthropic/jobs/5183053008" TargetMode="External"/><Relationship Id="rId140" Type="http://schemas.openxmlformats.org/officeDocument/2006/relationships/hyperlink" Target="https://www.databricks.com/company/careers/university-recruiting---product/associate-product-manager-new-grad-2027-start-7586263002" TargetMode="External"/><Relationship Id="rId141" Type="http://schemas.openxmlformats.org/officeDocument/2006/relationships/hyperlink" Target="https://stripe.com/careers/listing/product-manager-new-grad-accelerator/7737124" TargetMode="External"/><Relationship Id="rId142" Type="http://schemas.openxmlformats.org/officeDocument/2006/relationships/hyperlink" Target="https://www.disneycareers.com/en/job/glendale/associate-product-manager-program/391/100651632256" TargetMode="External"/><Relationship Id="rId143" Type="http://schemas.openxmlformats.org/officeDocument/2006/relationships/hyperlink" Target="https://apmlist.org/resources/atlassian-apm-associate-product-manager" TargetMode="External"/><Relationship Id="rId144" Type="http://schemas.openxmlformats.org/officeDocument/2006/relationships/hyperlink" Target="https://careers.microsoft.com/students" TargetMode="External"/><Relationship Id="rId145" Type="http://schemas.openxmlformats.org/officeDocument/2006/relationships/hyperlink" Target="https://www.influencermarketingsociety.com/jobs/624551079-content-creator-growth-graduate-tiktok-live-ams-2027-start-at-tiktok" TargetMode="External"/><Relationship Id="rId146" Type="http://schemas.openxmlformats.org/officeDocument/2006/relationships/hyperlink" Target="https://internexxus.com/internship/creator-partnerships-associate-graduate/" TargetMode="External"/><Relationship Id="rId147" Type="http://schemas.openxmlformats.org/officeDocument/2006/relationships/hyperlink" Target="https://careers.blackrock.com/job/london/2027-client-and-product-graduate-rotational-program-emea/45831/97150826688" TargetMode="External"/><Relationship Id="rId148" Type="http://schemas.openxmlformats.org/officeDocument/2006/relationships/hyperlink" Target="https://www.builtinnyc.com/job/2027-private-equity-infrastructure-real-assets-summer-analyst/9227136" TargetMode="External"/><Relationship Id="rId149" Type="http://schemas.openxmlformats.org/officeDocument/2006/relationships/hyperlink" Target="https://interninsider.me/internships/stepstone-group/2027-real-estate-investments-summer-analyst-13da28f9-a967-4053-a8c6-6481a1fd588a" TargetMode="External"/><Relationship Id="rId150" Type="http://schemas.openxmlformats.org/officeDocument/2006/relationships/hyperlink" Target="https://jobs.ashbyhq.com/volition-capital/e848e7dc-5369-417d-8ad3-00440e26d476" TargetMode="External"/><Relationship Id="rId151" Type="http://schemas.openxmlformats.org/officeDocument/2006/relationships/hyperlink" Target="https://jobs.ashbyhq.com/turn-river/23f04521-5b4b-418a-85ac-547116a4ef56" TargetMode="External"/><Relationship Id="rId152" Type="http://schemas.openxmlformats.org/officeDocument/2006/relationships/hyperlink" Target="https://careers.amherst.edu/jobs/founders-circle-capital-venture-capital-summer-analyst/" TargetMode="External"/><Relationship Id="rId153" Type="http://schemas.openxmlformats.org/officeDocument/2006/relationships/hyperlink" Target="https://job-boards.greenhouse.io/batteryventures/jobs/5413080008" TargetMode="External"/><Relationship Id="rId154" Type="http://schemas.openxmlformats.org/officeDocument/2006/relationships/hyperlink" Target="https://www.tealhq.com/job/summer-analyst-internship-program_7ea1a8ab17bfb7f4815ae6ac2776b14c6f556" TargetMode="External"/><Relationship Id="rId155" Type="http://schemas.openxmlformats.org/officeDocument/2006/relationships/hyperlink" Target="https://www.builtinnyc.com/job/institutional-client-group-summer-internship-2027/9239700" TargetMode="External"/><Relationship Id="rId156" Type="http://schemas.openxmlformats.org/officeDocument/2006/relationships/hyperlink" Target="https://nb.wd1.myworkdayjobs.com/en-US/NBCareers/job/Almanac-Realty-Group-Summer-2027-Internship_R0012519" TargetMode="External"/><Relationship Id="rId157" Type="http://schemas.openxmlformats.org/officeDocument/2006/relationships/hyperlink" Target="https://www.efinancialcareers.co.uk/jobs-USA-MA-Cambridge-Blackstone_Life_Sciences_Analyst.id23865540" TargetMode="External"/><Relationship Id="rId158" Type="http://schemas.openxmlformats.org/officeDocument/2006/relationships/hyperlink" Target="https://careerservices.upenn.edu/jobs/graham-partners-private-equity-investment-team-2027-summer-analyst-rising-senior-class-of-2028/" TargetMode="External"/><Relationship Id="rId159" Type="http://schemas.openxmlformats.org/officeDocument/2006/relationships/hyperlink" Target="https://www.extern.com/post/apollo-global-internship-guide" TargetMode="External"/><Relationship Id="rId16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8"/>
    <col collapsed="false" customWidth="true" hidden="false" outlineLevel="0" max="4" min="4" style="0" width="3"/>
    <col collapsed="false" customWidth="true" hidden="false" outlineLevel="0" max="5" min="5" style="0" width="22"/>
    <col collapsed="false" customWidth="true" hidden="false" outlineLevel="0" max="6" min="6" style="0" width="8"/>
    <col collapsed="false" customWidth="true" hidden="false" outlineLevel="0" max="7" min="7" style="0" width="3"/>
    <col collapsed="false" customWidth="true" hidden="false" outlineLevel="0" max="8" min="8" style="0" width="16"/>
    <col collapsed="false" customWidth="true" hidden="false" outlineLevel="0" max="9" min="9" style="0" width="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7" customFormat="false" ht="15" hidden="false" customHeight="false" outlineLevel="0" collapsed="false">
      <c r="A7" s="3" t="s">
        <v>5</v>
      </c>
      <c r="B7" s="3" t="s">
        <v>6</v>
      </c>
      <c r="C7" s="3" t="s">
        <v>7</v>
      </c>
      <c r="E7" s="3" t="s">
        <v>8</v>
      </c>
      <c r="F7" s="3" t="s">
        <v>6</v>
      </c>
      <c r="H7" s="3" t="s">
        <v>9</v>
      </c>
      <c r="I7" s="3" t="s">
        <v>10</v>
      </c>
    </row>
    <row r="8" customFormat="false" ht="15" hidden="false" customHeight="false" outlineLevel="0" collapsed="false">
      <c r="A8" s="4" t="s">
        <v>11</v>
      </c>
      <c r="B8" s="4" t="n">
        <f aca="false">COUNTIF('All Roles'!$F$2:$F$163,A8)</f>
        <v>5</v>
      </c>
      <c r="C8" s="4" t="n">
        <f aca="false">COUNTIFS('All Roles'!$F$2:$F$163,A8,'All Roles'!$J$2:$J$163,"&gt;=4")</f>
        <v>2</v>
      </c>
      <c r="E8" s="4" t="s">
        <v>12</v>
      </c>
      <c r="F8" s="4" t="n">
        <f aca="false">COUNTIFS('All Roles'!$B$2:$B$163,"&gt;=0",'All Roles'!$B$2:$B$163,"&lt;=7")</f>
        <v>15</v>
      </c>
      <c r="H8" s="4" t="s">
        <v>13</v>
      </c>
      <c r="I8" s="4" t="n">
        <f aca="false">COUNTIF('All Roles'!$N$2:$N$163,H8)</f>
        <v>162</v>
      </c>
    </row>
    <row r="9" customFormat="false" ht="15" hidden="false" customHeight="false" outlineLevel="0" collapsed="false">
      <c r="A9" s="4" t="s">
        <v>14</v>
      </c>
      <c r="B9" s="4" t="n">
        <f aca="false">COUNTIF('All Roles'!$F$2:$F$163,A9)</f>
        <v>2</v>
      </c>
      <c r="C9" s="4" t="n">
        <f aca="false">COUNTIFS('All Roles'!$F$2:$F$163,A9,'All Roles'!$J$2:$J$163,"&gt;=4")</f>
        <v>1</v>
      </c>
      <c r="E9" s="4" t="s">
        <v>15</v>
      </c>
      <c r="F9" s="4" t="n">
        <f aca="false">COUNTIFS('All Roles'!$B$2:$B$163,"&gt;=8",'All Roles'!$B$2:$B$163,"&lt;=30")</f>
        <v>15</v>
      </c>
      <c r="H9" s="4" t="s">
        <v>16</v>
      </c>
      <c r="I9" s="4" t="n">
        <f aca="false">COUNTIF('All Roles'!$N$2:$N$163,H9)</f>
        <v>0</v>
      </c>
    </row>
    <row r="10" customFormat="false" ht="15" hidden="false" customHeight="false" outlineLevel="0" collapsed="false">
      <c r="A10" s="4" t="s">
        <v>17</v>
      </c>
      <c r="B10" s="4" t="n">
        <f aca="false">COUNTIF('All Roles'!$F$2:$F$163,A10)</f>
        <v>1</v>
      </c>
      <c r="C10" s="4" t="n">
        <f aca="false">COUNTIFS('All Roles'!$F$2:$F$163,A10,'All Roles'!$J$2:$J$163,"&gt;=4")</f>
        <v>1</v>
      </c>
      <c r="E10" s="4" t="s">
        <v>18</v>
      </c>
      <c r="F10" s="4" t="n">
        <f aca="false">COUNTIF('All Roles'!$B$2:$B$163,"&gt;30")</f>
        <v>13</v>
      </c>
      <c r="H10" s="4" t="s">
        <v>19</v>
      </c>
      <c r="I10" s="4" t="n">
        <f aca="false">COUNTIF('All Roles'!$N$2:$N$163,H10)</f>
        <v>0</v>
      </c>
    </row>
    <row r="11" customFormat="false" ht="15" hidden="false" customHeight="false" outlineLevel="0" collapsed="false">
      <c r="A11" s="4" t="s">
        <v>20</v>
      </c>
      <c r="B11" s="4" t="n">
        <f aca="false">COUNTIF('All Roles'!$F$2:$F$163,A11)</f>
        <v>8</v>
      </c>
      <c r="C11" s="4" t="n">
        <f aca="false">COUNTIFS('All Roles'!$F$2:$F$163,A11,'All Roles'!$J$2:$J$163,"&gt;=4")</f>
        <v>4</v>
      </c>
      <c r="E11" s="4" t="s">
        <v>21</v>
      </c>
      <c r="F11" s="4" t="n">
        <f aca="false">COUNTIF('All Roles'!$A$2:$A$163,"Rolling")</f>
        <v>119</v>
      </c>
      <c r="H11" s="4" t="s">
        <v>22</v>
      </c>
      <c r="I11" s="4" t="n">
        <f aca="false">COUNTIF('All Roles'!$N$2:$N$163,H11)</f>
        <v>0</v>
      </c>
    </row>
    <row r="12" customFormat="false" ht="15" hidden="false" customHeight="false" outlineLevel="0" collapsed="false">
      <c r="A12" s="4" t="s">
        <v>23</v>
      </c>
      <c r="B12" s="4" t="n">
        <f aca="false">COUNTIF('All Roles'!$F$2:$F$163,A12)</f>
        <v>16</v>
      </c>
      <c r="C12" s="4" t="n">
        <f aca="false">COUNTIFS('All Roles'!$F$2:$F$163,A12,'All Roles'!$J$2:$J$163,"&gt;=4")</f>
        <v>7</v>
      </c>
      <c r="E12" s="4" t="s">
        <v>24</v>
      </c>
      <c r="F12" s="4" t="n">
        <f aca="false">COUNTIF('All Roles'!$B$2:$B$163,"&lt;0")</f>
        <v>0</v>
      </c>
      <c r="H12" s="4" t="s">
        <v>25</v>
      </c>
      <c r="I12" s="4" t="n">
        <f aca="false">COUNTIF('All Roles'!$N$2:$N$163,H12)</f>
        <v>0</v>
      </c>
    </row>
    <row r="13" customFormat="false" ht="15" hidden="false" customHeight="false" outlineLevel="0" collapsed="false">
      <c r="A13" s="4" t="s">
        <v>26</v>
      </c>
      <c r="B13" s="4" t="n">
        <f aca="false">COUNTIF('All Roles'!$F$2:$F$163,A13)</f>
        <v>24</v>
      </c>
      <c r="C13" s="4" t="n">
        <f aca="false">COUNTIFS('All Roles'!$F$2:$F$163,A13,'All Roles'!$J$2:$J$163,"&gt;=4")</f>
        <v>5</v>
      </c>
    </row>
    <row r="14" customFormat="false" ht="15" hidden="false" customHeight="false" outlineLevel="0" collapsed="false">
      <c r="A14" s="4" t="s">
        <v>27</v>
      </c>
      <c r="B14" s="4" t="n">
        <f aca="false">COUNTIF('All Roles'!$F$2:$F$163,A14)</f>
        <v>18</v>
      </c>
      <c r="C14" s="4" t="n">
        <f aca="false">COUNTIFS('All Roles'!$F$2:$F$163,A14,'All Roles'!$J$2:$J$163,"&gt;=4")</f>
        <v>5</v>
      </c>
    </row>
    <row r="15" customFormat="false" ht="15" hidden="false" customHeight="false" outlineLevel="0" collapsed="false">
      <c r="A15" s="4" t="s">
        <v>28</v>
      </c>
      <c r="B15" s="4" t="n">
        <f aca="false">COUNTIF('All Roles'!$F$2:$F$163,A15)</f>
        <v>12</v>
      </c>
      <c r="C15" s="4" t="n">
        <f aca="false">COUNTIFS('All Roles'!$F$2:$F$163,A15,'All Roles'!$J$2:$J$163,"&gt;=4")</f>
        <v>4</v>
      </c>
    </row>
    <row r="16" customFormat="false" ht="15" hidden="false" customHeight="false" outlineLevel="0" collapsed="false">
      <c r="A16" s="4" t="s">
        <v>29</v>
      </c>
      <c r="B16" s="4" t="n">
        <f aca="false">COUNTIF('All Roles'!$F$2:$F$163,A16)</f>
        <v>7</v>
      </c>
      <c r="C16" s="4" t="n">
        <f aca="false">COUNTIFS('All Roles'!$F$2:$F$163,A16,'All Roles'!$J$2:$J$163,"&gt;=4")</f>
        <v>2</v>
      </c>
    </row>
    <row r="17" customFormat="false" ht="15" hidden="false" customHeight="false" outlineLevel="0" collapsed="false">
      <c r="A17" s="4" t="s">
        <v>30</v>
      </c>
      <c r="B17" s="4" t="n">
        <f aca="false">COUNTIF('All Roles'!$F$2:$F$163,A17)</f>
        <v>3</v>
      </c>
      <c r="C17" s="4" t="n">
        <f aca="false">COUNTIFS('All Roles'!$F$2:$F$163,A17,'All Roles'!$J$2:$J$163,"&gt;=4")</f>
        <v>0</v>
      </c>
    </row>
    <row r="18" customFormat="false" ht="15" hidden="false" customHeight="false" outlineLevel="0" collapsed="false">
      <c r="A18" s="4" t="s">
        <v>31</v>
      </c>
      <c r="B18" s="4" t="n">
        <f aca="false">COUNTIF('All Roles'!$F$2:$F$163,A18)</f>
        <v>4</v>
      </c>
      <c r="C18" s="4" t="n">
        <f aca="false">COUNTIFS('All Roles'!$F$2:$F$163,A18,'All Roles'!$J$2:$J$163,"&gt;=4")</f>
        <v>0</v>
      </c>
    </row>
    <row r="19" customFormat="false" ht="15" hidden="false" customHeight="false" outlineLevel="0" collapsed="false">
      <c r="A19" s="4" t="s">
        <v>32</v>
      </c>
      <c r="B19" s="4" t="n">
        <f aca="false">COUNTIF('All Roles'!$F$2:$F$163,A19)</f>
        <v>14</v>
      </c>
      <c r="C19" s="4" t="n">
        <f aca="false">COUNTIFS('All Roles'!$F$2:$F$163,A19,'All Roles'!$J$2:$J$163,"&gt;=4")</f>
        <v>5</v>
      </c>
    </row>
    <row r="20" customFormat="false" ht="15" hidden="false" customHeight="false" outlineLevel="0" collapsed="false">
      <c r="A20" s="4" t="s">
        <v>33</v>
      </c>
      <c r="B20" s="4" t="n">
        <f aca="false">COUNTIF('All Roles'!$F$2:$F$163,A20)</f>
        <v>14</v>
      </c>
      <c r="C20" s="4" t="n">
        <f aca="false">COUNTIFS('All Roles'!$F$2:$F$163,A20,'All Roles'!$J$2:$J$163,"&gt;=4")</f>
        <v>4</v>
      </c>
    </row>
    <row r="21" customFormat="false" ht="15" hidden="false" customHeight="false" outlineLevel="0" collapsed="false">
      <c r="A21" s="4" t="s">
        <v>34</v>
      </c>
      <c r="B21" s="4" t="n">
        <f aca="false">COUNTIF('All Roles'!$F$2:$F$163,A21)</f>
        <v>16</v>
      </c>
      <c r="C21" s="4" t="n">
        <f aca="false">COUNTIFS('All Roles'!$F$2:$F$163,A21,'All Roles'!$J$2:$J$163,"&gt;=4")</f>
        <v>3</v>
      </c>
    </row>
    <row r="22" customFormat="false" ht="15" hidden="false" customHeight="false" outlineLevel="0" collapsed="false">
      <c r="A22" s="4" t="s">
        <v>35</v>
      </c>
      <c r="B22" s="4" t="n">
        <f aca="false">COUNTIF('All Roles'!$F$2:$F$163,A22)</f>
        <v>18</v>
      </c>
      <c r="C22" s="4" t="n">
        <f aca="false">COUNTIFS('All Roles'!$F$2:$F$163,A22,'All Roles'!$J$2:$J$163,"&gt;=4")</f>
        <v>6</v>
      </c>
    </row>
    <row r="23" customFormat="false" ht="15" hidden="false" customHeight="false" outlineLevel="0" collapsed="false">
      <c r="A23" s="5" t="s">
        <v>36</v>
      </c>
      <c r="B23" s="5" t="n">
        <f aca="false">SUM(B8:B22)</f>
        <v>162</v>
      </c>
      <c r="C23" s="5" t="n">
        <f aca="false">SUM(C8:C22)</f>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24"/>
    <col collapsed="false" customWidth="true" hidden="false" outlineLevel="0" max="4" min="4" style="0" width="46"/>
    <col collapsed="false" customWidth="true" hidden="false" outlineLevel="0" max="5" min="5" style="0" width="11"/>
    <col collapsed="false" customWidth="true" hidden="false" outlineLevel="0" max="6" min="6" style="0" width="26"/>
    <col collapsed="false" customWidth="true" hidden="false" outlineLevel="0" max="7" min="7" style="0" width="24"/>
    <col collapsed="false" customWidth="true" hidden="false" outlineLevel="0" max="8" min="8" style="0" width="10"/>
    <col collapsed="false" customWidth="true" hidden="false" outlineLevel="0" max="9" min="9" style="0" width="22"/>
    <col collapsed="false" customWidth="true" hidden="false" outlineLevel="0" max="10" min="10" style="0" width="8"/>
    <col collapsed="false" customWidth="true" hidden="false" outlineLevel="0" max="11" min="11" style="0" width="20"/>
    <col collapsed="false" customWidth="true" hidden="false" outlineLevel="0" max="12" min="12" style="0" width="50"/>
    <col collapsed="false" customWidth="true" hidden="false" outlineLevel="0" max="13" min="13" style="0" width="70"/>
    <col collapsed="false" customWidth="true" hidden="false" outlineLevel="0" max="14" min="14" style="0" width="13"/>
    <col collapsed="false" customWidth="true" hidden="false" outlineLevel="0" max="15" min="15" style="0" width="12"/>
  </cols>
  <sheetData>
    <row r="1" customFormat="false" ht="30" hidden="false" customHeight="true" outlineLevel="0" collapsed="false">
      <c r="A1" s="6" t="s">
        <v>37</v>
      </c>
      <c r="B1" s="6" t="s">
        <v>38</v>
      </c>
      <c r="C1" s="6" t="s">
        <v>39</v>
      </c>
      <c r="D1" s="6" t="s">
        <v>40</v>
      </c>
      <c r="E1" s="6" t="s">
        <v>41</v>
      </c>
      <c r="F1" s="6" t="s">
        <v>5</v>
      </c>
      <c r="G1" s="6" t="s">
        <v>42</v>
      </c>
      <c r="H1" s="6" t="s">
        <v>43</v>
      </c>
      <c r="I1" s="6" t="s">
        <v>44</v>
      </c>
      <c r="J1" s="6" t="s">
        <v>45</v>
      </c>
      <c r="K1" s="6" t="s">
        <v>46</v>
      </c>
      <c r="L1" s="6" t="s">
        <v>47</v>
      </c>
      <c r="M1" s="6" t="s">
        <v>48</v>
      </c>
      <c r="N1" s="6" t="s">
        <v>49</v>
      </c>
      <c r="O1" s="6" t="s">
        <v>50</v>
      </c>
    </row>
    <row r="2" customFormat="false" ht="46.25" hidden="false" customHeight="false" outlineLevel="0" collapsed="false">
      <c r="A2" s="7" t="n">
        <v>46323</v>
      </c>
      <c r="B2" s="8" t="n">
        <f aca="true">IF(ISNUMBER(A2),A2-TODAY(),"")</f>
        <v>0</v>
      </c>
      <c r="C2" s="8" t="s">
        <v>51</v>
      </c>
      <c r="D2" s="9" t="s">
        <v>52</v>
      </c>
      <c r="E2" s="8" t="s">
        <v>53</v>
      </c>
      <c r="F2" s="8" t="s">
        <v>27</v>
      </c>
      <c r="G2" s="8" t="s">
        <v>54</v>
      </c>
      <c r="H2" s="8" t="s">
        <v>55</v>
      </c>
      <c r="I2" s="8" t="s">
        <v>56</v>
      </c>
      <c r="J2" s="10" t="n">
        <v>4</v>
      </c>
      <c r="K2" s="8" t="s">
        <v>57</v>
      </c>
      <c r="L2" s="11" t="s">
        <v>58</v>
      </c>
      <c r="M2" s="11" t="s">
        <v>59</v>
      </c>
      <c r="N2" s="10" t="s">
        <v>13</v>
      </c>
      <c r="O2" s="7"/>
    </row>
    <row r="3" customFormat="false" ht="23.85" hidden="false" customHeight="false" outlineLevel="0" collapsed="false">
      <c r="A3" s="7" t="n">
        <v>46323</v>
      </c>
      <c r="B3" s="8" t="n">
        <f aca="true">IF(ISNUMBER(A3),A3-TODAY(),"")</f>
        <v>0</v>
      </c>
      <c r="C3" s="8" t="s">
        <v>60</v>
      </c>
      <c r="D3" s="9" t="s">
        <v>61</v>
      </c>
      <c r="E3" s="8" t="s">
        <v>53</v>
      </c>
      <c r="F3" s="8" t="s">
        <v>29</v>
      </c>
      <c r="G3" s="8" t="s">
        <v>62</v>
      </c>
      <c r="H3" s="8" t="s">
        <v>63</v>
      </c>
      <c r="I3" s="8" t="s">
        <v>64</v>
      </c>
      <c r="J3" s="10" t="n">
        <v>5</v>
      </c>
      <c r="K3" s="8" t="s">
        <v>65</v>
      </c>
      <c r="L3" s="11" t="s">
        <v>66</v>
      </c>
      <c r="M3" s="11" t="s">
        <v>67</v>
      </c>
      <c r="N3" s="10" t="s">
        <v>13</v>
      </c>
      <c r="O3" s="7"/>
    </row>
    <row r="4" customFormat="false" ht="57.45" hidden="false" customHeight="false" outlineLevel="0" collapsed="false">
      <c r="A4" s="7" t="n">
        <v>46325</v>
      </c>
      <c r="B4" s="8" t="n">
        <f aca="true">IF(ISNUMBER(A4),A4-TODAY(),"")</f>
        <v>2</v>
      </c>
      <c r="C4" s="8" t="s">
        <v>68</v>
      </c>
      <c r="D4" s="9" t="s">
        <v>69</v>
      </c>
      <c r="E4" s="8" t="s">
        <v>53</v>
      </c>
      <c r="F4" s="8" t="s">
        <v>27</v>
      </c>
      <c r="G4" s="8" t="s">
        <v>70</v>
      </c>
      <c r="H4" s="8" t="s">
        <v>55</v>
      </c>
      <c r="I4" s="8" t="s">
        <v>56</v>
      </c>
      <c r="J4" s="10" t="n">
        <v>4</v>
      </c>
      <c r="K4" s="8" t="s">
        <v>57</v>
      </c>
      <c r="L4" s="11" t="s">
        <v>71</v>
      </c>
      <c r="M4" s="11" t="s">
        <v>72</v>
      </c>
      <c r="N4" s="10" t="s">
        <v>13</v>
      </c>
      <c r="O4" s="7"/>
    </row>
    <row r="5" customFormat="false" ht="46.25" hidden="false" customHeight="false" outlineLevel="0" collapsed="false">
      <c r="A5" s="7" t="n">
        <v>46325</v>
      </c>
      <c r="B5" s="8" t="n">
        <f aca="true">IF(ISNUMBER(A5),A5-TODAY(),"")</f>
        <v>2</v>
      </c>
      <c r="C5" s="8" t="s">
        <v>68</v>
      </c>
      <c r="D5" s="9" t="s">
        <v>73</v>
      </c>
      <c r="E5" s="8" t="s">
        <v>74</v>
      </c>
      <c r="F5" s="8" t="s">
        <v>27</v>
      </c>
      <c r="G5" s="8" t="s">
        <v>75</v>
      </c>
      <c r="H5" s="8" t="s">
        <v>63</v>
      </c>
      <c r="I5" s="8" t="s">
        <v>76</v>
      </c>
      <c r="J5" s="10" t="n">
        <v>3</v>
      </c>
      <c r="K5" s="8" t="s">
        <v>57</v>
      </c>
      <c r="L5" s="11" t="s">
        <v>77</v>
      </c>
      <c r="M5" s="11" t="s">
        <v>78</v>
      </c>
      <c r="N5" s="10" t="s">
        <v>13</v>
      </c>
      <c r="O5" s="7"/>
    </row>
    <row r="6" customFormat="false" ht="57.45" hidden="false" customHeight="false" outlineLevel="0" collapsed="false">
      <c r="A6" s="7" t="n">
        <v>46325</v>
      </c>
      <c r="B6" s="8" t="n">
        <f aca="true">IF(ISNUMBER(A6),A6-TODAY(),"")</f>
        <v>2</v>
      </c>
      <c r="C6" s="8" t="s">
        <v>79</v>
      </c>
      <c r="D6" s="9" t="s">
        <v>80</v>
      </c>
      <c r="E6" s="8" t="s">
        <v>53</v>
      </c>
      <c r="F6" s="8" t="s">
        <v>14</v>
      </c>
      <c r="G6" s="8" t="s">
        <v>62</v>
      </c>
      <c r="H6" s="8" t="s">
        <v>63</v>
      </c>
      <c r="I6" s="8" t="s">
        <v>81</v>
      </c>
      <c r="J6" s="10" t="n">
        <v>5</v>
      </c>
      <c r="K6" s="8" t="s">
        <v>65</v>
      </c>
      <c r="L6" s="11" t="s">
        <v>82</v>
      </c>
      <c r="M6" s="11" t="s">
        <v>83</v>
      </c>
      <c r="N6" s="10" t="s">
        <v>13</v>
      </c>
      <c r="O6" s="7"/>
    </row>
    <row r="7" customFormat="false" ht="35.05" hidden="false" customHeight="false" outlineLevel="0" collapsed="false">
      <c r="A7" s="7" t="n">
        <v>46325</v>
      </c>
      <c r="B7" s="8" t="n">
        <f aca="true">IF(ISNUMBER(A7),A7-TODAY(),"")</f>
        <v>2</v>
      </c>
      <c r="C7" s="8" t="s">
        <v>84</v>
      </c>
      <c r="D7" s="9" t="s">
        <v>85</v>
      </c>
      <c r="E7" s="8" t="s">
        <v>74</v>
      </c>
      <c r="F7" s="8" t="s">
        <v>20</v>
      </c>
      <c r="G7" s="8" t="s">
        <v>86</v>
      </c>
      <c r="H7" s="8" t="s">
        <v>55</v>
      </c>
      <c r="I7" s="8" t="s">
        <v>56</v>
      </c>
      <c r="J7" s="10" t="n">
        <v>4</v>
      </c>
      <c r="K7" s="8" t="s">
        <v>87</v>
      </c>
      <c r="L7" s="11" t="s">
        <v>88</v>
      </c>
      <c r="M7" s="11" t="s">
        <v>89</v>
      </c>
      <c r="N7" s="10" t="s">
        <v>13</v>
      </c>
      <c r="O7" s="7"/>
    </row>
    <row r="8" customFormat="false" ht="46.25" hidden="false" customHeight="false" outlineLevel="0" collapsed="false">
      <c r="A8" s="7" t="n">
        <v>46325</v>
      </c>
      <c r="B8" s="8" t="n">
        <f aca="true">IF(ISNUMBER(A8),A8-TODAY(),"")</f>
        <v>2</v>
      </c>
      <c r="C8" s="8" t="s">
        <v>90</v>
      </c>
      <c r="D8" s="9" t="s">
        <v>91</v>
      </c>
      <c r="E8" s="8" t="s">
        <v>53</v>
      </c>
      <c r="F8" s="8" t="s">
        <v>34</v>
      </c>
      <c r="G8" s="8" t="s">
        <v>92</v>
      </c>
      <c r="H8" s="8" t="s">
        <v>93</v>
      </c>
      <c r="I8" s="8" t="s">
        <v>94</v>
      </c>
      <c r="J8" s="10" t="n">
        <v>4</v>
      </c>
      <c r="K8" s="8" t="s">
        <v>95</v>
      </c>
      <c r="L8" s="11" t="s">
        <v>96</v>
      </c>
      <c r="M8" s="11" t="s">
        <v>97</v>
      </c>
      <c r="N8" s="10" t="s">
        <v>13</v>
      </c>
      <c r="O8" s="7"/>
    </row>
    <row r="9" customFormat="false" ht="23.85" hidden="false" customHeight="false" outlineLevel="0" collapsed="false">
      <c r="A9" s="7" t="n">
        <v>46325</v>
      </c>
      <c r="B9" s="8" t="n">
        <f aca="true">IF(ISNUMBER(A9),A9-TODAY(),"")</f>
        <v>2</v>
      </c>
      <c r="C9" s="8" t="s">
        <v>98</v>
      </c>
      <c r="D9" s="9" t="s">
        <v>99</v>
      </c>
      <c r="E9" s="8" t="s">
        <v>74</v>
      </c>
      <c r="F9" s="8" t="s">
        <v>35</v>
      </c>
      <c r="G9" s="8" t="s">
        <v>75</v>
      </c>
      <c r="H9" s="8" t="s">
        <v>63</v>
      </c>
      <c r="I9" s="8" t="s">
        <v>56</v>
      </c>
      <c r="J9" s="10" t="n">
        <v>3</v>
      </c>
      <c r="K9" s="8" t="s">
        <v>65</v>
      </c>
      <c r="L9" s="11" t="s">
        <v>100</v>
      </c>
      <c r="M9" s="11" t="s">
        <v>101</v>
      </c>
      <c r="N9" s="10" t="s">
        <v>13</v>
      </c>
      <c r="O9" s="7"/>
    </row>
    <row r="10" customFormat="false" ht="23.85" hidden="false" customHeight="false" outlineLevel="0" collapsed="false">
      <c r="A10" s="7" t="n">
        <v>46325</v>
      </c>
      <c r="B10" s="8" t="n">
        <f aca="true">IF(ISNUMBER(A10),A10-TODAY(),"")</f>
        <v>2</v>
      </c>
      <c r="C10" s="8" t="s">
        <v>98</v>
      </c>
      <c r="D10" s="9" t="s">
        <v>102</v>
      </c>
      <c r="E10" s="8" t="s">
        <v>74</v>
      </c>
      <c r="F10" s="8" t="s">
        <v>30</v>
      </c>
      <c r="G10" s="8" t="s">
        <v>75</v>
      </c>
      <c r="H10" s="8" t="s">
        <v>63</v>
      </c>
      <c r="I10" s="8" t="s">
        <v>56</v>
      </c>
      <c r="J10" s="10" t="n">
        <v>3</v>
      </c>
      <c r="K10" s="8" t="s">
        <v>65</v>
      </c>
      <c r="L10" s="11" t="s">
        <v>103</v>
      </c>
      <c r="M10" s="11" t="s">
        <v>104</v>
      </c>
      <c r="N10" s="10" t="s">
        <v>13</v>
      </c>
      <c r="O10" s="7"/>
    </row>
    <row r="11" customFormat="false" ht="57.45" hidden="false" customHeight="false" outlineLevel="0" collapsed="false">
      <c r="A11" s="7" t="n">
        <v>46326</v>
      </c>
      <c r="B11" s="8" t="n">
        <f aca="true">IF(ISNUMBER(A11),A11-TODAY(),"")</f>
        <v>3</v>
      </c>
      <c r="C11" s="8" t="s">
        <v>105</v>
      </c>
      <c r="D11" s="9" t="s">
        <v>106</v>
      </c>
      <c r="E11" s="8" t="s">
        <v>53</v>
      </c>
      <c r="F11" s="8" t="s">
        <v>32</v>
      </c>
      <c r="G11" s="8" t="s">
        <v>107</v>
      </c>
      <c r="H11" s="8" t="s">
        <v>63</v>
      </c>
      <c r="I11" s="8" t="s">
        <v>56</v>
      </c>
      <c r="J11" s="10" t="n">
        <v>5</v>
      </c>
      <c r="K11" s="8" t="s">
        <v>87</v>
      </c>
      <c r="L11" s="11" t="s">
        <v>108</v>
      </c>
      <c r="M11" s="11" t="s">
        <v>109</v>
      </c>
      <c r="N11" s="10" t="s">
        <v>13</v>
      </c>
      <c r="O11" s="7"/>
    </row>
    <row r="12" customFormat="false" ht="46.25" hidden="false" customHeight="false" outlineLevel="0" collapsed="false">
      <c r="A12" s="7" t="n">
        <v>46326</v>
      </c>
      <c r="B12" s="8" t="n">
        <f aca="true">IF(ISNUMBER(A12),A12-TODAY(),"")</f>
        <v>3</v>
      </c>
      <c r="C12" s="8" t="s">
        <v>110</v>
      </c>
      <c r="D12" s="9" t="s">
        <v>111</v>
      </c>
      <c r="E12" s="8" t="s">
        <v>74</v>
      </c>
      <c r="F12" s="8" t="s">
        <v>26</v>
      </c>
      <c r="G12" s="8" t="s">
        <v>112</v>
      </c>
      <c r="H12" s="8" t="s">
        <v>55</v>
      </c>
      <c r="I12" s="8" t="s">
        <v>113</v>
      </c>
      <c r="J12" s="10" t="n">
        <v>4</v>
      </c>
      <c r="K12" s="8" t="s">
        <v>87</v>
      </c>
      <c r="L12" s="11" t="s">
        <v>114</v>
      </c>
      <c r="M12" s="11" t="s">
        <v>115</v>
      </c>
      <c r="N12" s="10" t="s">
        <v>13</v>
      </c>
      <c r="O12" s="7"/>
    </row>
    <row r="13" customFormat="false" ht="46.25" hidden="false" customHeight="false" outlineLevel="0" collapsed="false">
      <c r="A13" s="7" t="n">
        <v>46326</v>
      </c>
      <c r="B13" s="8" t="n">
        <f aca="true">IF(ISNUMBER(A13),A13-TODAY(),"")</f>
        <v>3</v>
      </c>
      <c r="C13" s="8" t="s">
        <v>116</v>
      </c>
      <c r="D13" s="9" t="s">
        <v>117</v>
      </c>
      <c r="E13" s="8" t="s">
        <v>53</v>
      </c>
      <c r="F13" s="8" t="s">
        <v>26</v>
      </c>
      <c r="G13" s="8" t="s">
        <v>62</v>
      </c>
      <c r="H13" s="8" t="s">
        <v>63</v>
      </c>
      <c r="I13" s="8" t="s">
        <v>56</v>
      </c>
      <c r="J13" s="10" t="n">
        <v>3</v>
      </c>
      <c r="K13" s="8" t="s">
        <v>87</v>
      </c>
      <c r="L13" s="11" t="s">
        <v>118</v>
      </c>
      <c r="M13" s="11" t="s">
        <v>119</v>
      </c>
      <c r="N13" s="10" t="s">
        <v>13</v>
      </c>
      <c r="O13" s="7"/>
    </row>
    <row r="14" customFormat="false" ht="46.25" hidden="false" customHeight="false" outlineLevel="0" collapsed="false">
      <c r="A14" s="7" t="n">
        <v>46327</v>
      </c>
      <c r="B14" s="8" t="n">
        <f aca="true">IF(ISNUMBER(A14),A14-TODAY(),"")</f>
        <v>4</v>
      </c>
      <c r="C14" s="8" t="s">
        <v>120</v>
      </c>
      <c r="D14" s="9" t="s">
        <v>121</v>
      </c>
      <c r="E14" s="8" t="s">
        <v>74</v>
      </c>
      <c r="F14" s="8" t="s">
        <v>31</v>
      </c>
      <c r="G14" s="8" t="s">
        <v>62</v>
      </c>
      <c r="H14" s="8" t="s">
        <v>55</v>
      </c>
      <c r="I14" s="8" t="s">
        <v>122</v>
      </c>
      <c r="J14" s="10" t="n">
        <v>3</v>
      </c>
      <c r="K14" s="8" t="s">
        <v>57</v>
      </c>
      <c r="L14" s="11" t="s">
        <v>123</v>
      </c>
      <c r="M14" s="11" t="s">
        <v>124</v>
      </c>
      <c r="N14" s="10" t="s">
        <v>13</v>
      </c>
      <c r="O14" s="7"/>
    </row>
    <row r="15" customFormat="false" ht="35.05" hidden="false" customHeight="false" outlineLevel="0" collapsed="false">
      <c r="A15" s="7" t="n">
        <v>46329</v>
      </c>
      <c r="B15" s="8" t="n">
        <f aca="true">IF(ISNUMBER(A15),A15-TODAY(),"")</f>
        <v>6</v>
      </c>
      <c r="C15" s="8" t="s">
        <v>125</v>
      </c>
      <c r="D15" s="9" t="s">
        <v>126</v>
      </c>
      <c r="E15" s="8" t="s">
        <v>74</v>
      </c>
      <c r="F15" s="8" t="s">
        <v>20</v>
      </c>
      <c r="G15" s="8" t="s">
        <v>127</v>
      </c>
      <c r="H15" s="8" t="s">
        <v>55</v>
      </c>
      <c r="I15" s="8" t="s">
        <v>56</v>
      </c>
      <c r="J15" s="10" t="n">
        <v>3</v>
      </c>
      <c r="K15" s="8" t="s">
        <v>87</v>
      </c>
      <c r="L15" s="11" t="s">
        <v>128</v>
      </c>
      <c r="M15" s="11" t="s">
        <v>129</v>
      </c>
      <c r="N15" s="10" t="s">
        <v>13</v>
      </c>
      <c r="O15" s="7"/>
    </row>
    <row r="16" customFormat="false" ht="35.05" hidden="false" customHeight="false" outlineLevel="0" collapsed="false">
      <c r="A16" s="7" t="n">
        <v>46330</v>
      </c>
      <c r="B16" s="8" t="n">
        <f aca="true">IF(ISNUMBER(A16),A16-TODAY(),"")</f>
        <v>7</v>
      </c>
      <c r="C16" s="8" t="s">
        <v>130</v>
      </c>
      <c r="D16" s="9" t="s">
        <v>131</v>
      </c>
      <c r="E16" s="8" t="s">
        <v>53</v>
      </c>
      <c r="F16" s="8" t="s">
        <v>35</v>
      </c>
      <c r="G16" s="8" t="s">
        <v>62</v>
      </c>
      <c r="H16" s="8" t="s">
        <v>63</v>
      </c>
      <c r="I16" s="8" t="s">
        <v>56</v>
      </c>
      <c r="J16" s="10" t="n">
        <v>5</v>
      </c>
      <c r="K16" s="8" t="s">
        <v>65</v>
      </c>
      <c r="L16" s="11" t="s">
        <v>132</v>
      </c>
      <c r="M16" s="11" t="s">
        <v>133</v>
      </c>
      <c r="N16" s="10" t="s">
        <v>13</v>
      </c>
      <c r="O16" s="7"/>
    </row>
    <row r="17" customFormat="false" ht="46.25" hidden="false" customHeight="false" outlineLevel="0" collapsed="false">
      <c r="A17" s="7" t="n">
        <v>46334</v>
      </c>
      <c r="B17" s="8" t="n">
        <f aca="true">IF(ISNUMBER(A17),A17-TODAY(),"")</f>
        <v>11</v>
      </c>
      <c r="C17" s="8" t="s">
        <v>125</v>
      </c>
      <c r="D17" s="9" t="s">
        <v>134</v>
      </c>
      <c r="E17" s="8" t="s">
        <v>74</v>
      </c>
      <c r="F17" s="8" t="s">
        <v>17</v>
      </c>
      <c r="G17" s="8" t="s">
        <v>135</v>
      </c>
      <c r="H17" s="8" t="s">
        <v>55</v>
      </c>
      <c r="I17" s="8" t="s">
        <v>136</v>
      </c>
      <c r="J17" s="10" t="n">
        <v>4</v>
      </c>
      <c r="K17" s="8" t="s">
        <v>87</v>
      </c>
      <c r="L17" s="11" t="s">
        <v>137</v>
      </c>
      <c r="M17" s="11" t="s">
        <v>138</v>
      </c>
      <c r="N17" s="10" t="s">
        <v>13</v>
      </c>
      <c r="O17" s="7"/>
    </row>
    <row r="18" customFormat="false" ht="46.25" hidden="false" customHeight="false" outlineLevel="0" collapsed="false">
      <c r="A18" s="7" t="n">
        <v>46334</v>
      </c>
      <c r="B18" s="8" t="n">
        <f aca="true">IF(ISNUMBER(A18),A18-TODAY(),"")</f>
        <v>11</v>
      </c>
      <c r="C18" s="8" t="s">
        <v>125</v>
      </c>
      <c r="D18" s="9" t="s">
        <v>139</v>
      </c>
      <c r="E18" s="8" t="s">
        <v>74</v>
      </c>
      <c r="F18" s="8" t="s">
        <v>23</v>
      </c>
      <c r="G18" s="8" t="s">
        <v>140</v>
      </c>
      <c r="H18" s="8" t="s">
        <v>63</v>
      </c>
      <c r="I18" s="8" t="s">
        <v>141</v>
      </c>
      <c r="J18" s="10" t="n">
        <v>4</v>
      </c>
      <c r="K18" s="8" t="s">
        <v>57</v>
      </c>
      <c r="L18" s="11" t="s">
        <v>142</v>
      </c>
      <c r="M18" s="11" t="s">
        <v>143</v>
      </c>
      <c r="N18" s="10" t="s">
        <v>13</v>
      </c>
      <c r="O18" s="7"/>
    </row>
    <row r="19" customFormat="false" ht="35.05" hidden="false" customHeight="false" outlineLevel="0" collapsed="false">
      <c r="A19" s="7" t="n">
        <v>46334</v>
      </c>
      <c r="B19" s="8" t="n">
        <f aca="true">IF(ISNUMBER(A19),A19-TODAY(),"")</f>
        <v>11</v>
      </c>
      <c r="C19" s="8" t="s">
        <v>125</v>
      </c>
      <c r="D19" s="9" t="s">
        <v>144</v>
      </c>
      <c r="E19" s="8" t="s">
        <v>74</v>
      </c>
      <c r="F19" s="8" t="s">
        <v>23</v>
      </c>
      <c r="G19" s="8" t="s">
        <v>145</v>
      </c>
      <c r="H19" s="8" t="s">
        <v>55</v>
      </c>
      <c r="I19" s="8" t="s">
        <v>56</v>
      </c>
      <c r="J19" s="10" t="n">
        <v>3</v>
      </c>
      <c r="K19" s="8" t="s">
        <v>65</v>
      </c>
      <c r="L19" s="11" t="s">
        <v>146</v>
      </c>
      <c r="M19" s="11" t="s">
        <v>147</v>
      </c>
      <c r="N19" s="10" t="s">
        <v>13</v>
      </c>
      <c r="O19" s="7"/>
    </row>
    <row r="20" customFormat="false" ht="35.05" hidden="false" customHeight="false" outlineLevel="0" collapsed="false">
      <c r="A20" s="7" t="n">
        <v>46335</v>
      </c>
      <c r="B20" s="8" t="n">
        <f aca="true">IF(ISNUMBER(A20),A20-TODAY(),"")</f>
        <v>12</v>
      </c>
      <c r="C20" s="8" t="s">
        <v>148</v>
      </c>
      <c r="D20" s="9" t="s">
        <v>149</v>
      </c>
      <c r="E20" s="8" t="s">
        <v>74</v>
      </c>
      <c r="F20" s="8" t="s">
        <v>26</v>
      </c>
      <c r="G20" s="8" t="s">
        <v>150</v>
      </c>
      <c r="H20" s="8" t="s">
        <v>93</v>
      </c>
      <c r="I20" s="8" t="s">
        <v>151</v>
      </c>
      <c r="J20" s="10" t="n">
        <v>4</v>
      </c>
      <c r="K20" s="8" t="s">
        <v>87</v>
      </c>
      <c r="L20" s="11" t="s">
        <v>152</v>
      </c>
      <c r="M20" s="11" t="s">
        <v>153</v>
      </c>
      <c r="N20" s="10" t="s">
        <v>13</v>
      </c>
      <c r="O20" s="7"/>
    </row>
    <row r="21" customFormat="false" ht="23.85" hidden="false" customHeight="false" outlineLevel="0" collapsed="false">
      <c r="A21" s="7" t="n">
        <v>46337</v>
      </c>
      <c r="B21" s="8" t="n">
        <f aca="true">IF(ISNUMBER(A21),A21-TODAY(),"")</f>
        <v>14</v>
      </c>
      <c r="C21" s="8" t="s">
        <v>120</v>
      </c>
      <c r="D21" s="9" t="s">
        <v>154</v>
      </c>
      <c r="E21" s="8" t="s">
        <v>74</v>
      </c>
      <c r="F21" s="8" t="s">
        <v>31</v>
      </c>
      <c r="G21" s="8" t="s">
        <v>155</v>
      </c>
      <c r="H21" s="8" t="s">
        <v>55</v>
      </c>
      <c r="I21" s="8" t="s">
        <v>156</v>
      </c>
      <c r="J21" s="10" t="n">
        <v>3</v>
      </c>
      <c r="K21" s="8" t="s">
        <v>57</v>
      </c>
      <c r="L21" s="11" t="s">
        <v>157</v>
      </c>
      <c r="M21" s="11" t="s">
        <v>158</v>
      </c>
      <c r="N21" s="10" t="s">
        <v>13</v>
      </c>
      <c r="O21" s="7"/>
    </row>
    <row r="22" customFormat="false" ht="35.05" hidden="false" customHeight="false" outlineLevel="0" collapsed="false">
      <c r="A22" s="7" t="n">
        <v>46339</v>
      </c>
      <c r="B22" s="8" t="n">
        <f aca="true">IF(ISNUMBER(A22),A22-TODAY(),"")</f>
        <v>16</v>
      </c>
      <c r="C22" s="8" t="s">
        <v>159</v>
      </c>
      <c r="D22" s="9" t="s">
        <v>160</v>
      </c>
      <c r="E22" s="8" t="s">
        <v>74</v>
      </c>
      <c r="F22" s="8" t="s">
        <v>33</v>
      </c>
      <c r="G22" s="8" t="s">
        <v>62</v>
      </c>
      <c r="H22" s="8" t="s">
        <v>63</v>
      </c>
      <c r="I22" s="8" t="s">
        <v>161</v>
      </c>
      <c r="J22" s="10" t="n">
        <v>3</v>
      </c>
      <c r="K22" s="8" t="s">
        <v>87</v>
      </c>
      <c r="L22" s="11" t="s">
        <v>162</v>
      </c>
      <c r="M22" s="11" t="s">
        <v>163</v>
      </c>
      <c r="N22" s="10" t="s">
        <v>13</v>
      </c>
      <c r="O22" s="7"/>
    </row>
    <row r="23" customFormat="false" ht="35.05" hidden="false" customHeight="false" outlineLevel="0" collapsed="false">
      <c r="A23" s="7" t="n">
        <v>46339</v>
      </c>
      <c r="B23" s="8" t="n">
        <f aca="true">IF(ISNUMBER(A23),A23-TODAY(),"")</f>
        <v>16</v>
      </c>
      <c r="C23" s="8" t="s">
        <v>159</v>
      </c>
      <c r="D23" s="9" t="s">
        <v>164</v>
      </c>
      <c r="E23" s="8" t="s">
        <v>74</v>
      </c>
      <c r="F23" s="8" t="s">
        <v>34</v>
      </c>
      <c r="G23" s="8" t="s">
        <v>62</v>
      </c>
      <c r="H23" s="8" t="s">
        <v>63</v>
      </c>
      <c r="I23" s="8" t="s">
        <v>161</v>
      </c>
      <c r="J23" s="10" t="n">
        <v>3</v>
      </c>
      <c r="K23" s="8" t="s">
        <v>95</v>
      </c>
      <c r="L23" s="11" t="s">
        <v>165</v>
      </c>
      <c r="M23" s="11" t="s">
        <v>166</v>
      </c>
      <c r="N23" s="10" t="s">
        <v>13</v>
      </c>
      <c r="O23" s="7"/>
    </row>
    <row r="24" customFormat="false" ht="23.85" hidden="false" customHeight="false" outlineLevel="0" collapsed="false">
      <c r="A24" s="7" t="n">
        <v>46339</v>
      </c>
      <c r="B24" s="8" t="n">
        <f aca="true">IF(ISNUMBER(A24),A24-TODAY(),"")</f>
        <v>16</v>
      </c>
      <c r="C24" s="8" t="s">
        <v>159</v>
      </c>
      <c r="D24" s="9" t="s">
        <v>167</v>
      </c>
      <c r="E24" s="8" t="s">
        <v>74</v>
      </c>
      <c r="F24" s="8" t="s">
        <v>32</v>
      </c>
      <c r="G24" s="8" t="s">
        <v>62</v>
      </c>
      <c r="H24" s="8" t="s">
        <v>63</v>
      </c>
      <c r="I24" s="8" t="s">
        <v>161</v>
      </c>
      <c r="J24" s="10" t="n">
        <v>3</v>
      </c>
      <c r="K24" s="8" t="s">
        <v>87</v>
      </c>
      <c r="L24" s="11" t="s">
        <v>168</v>
      </c>
      <c r="M24" s="11" t="s">
        <v>169</v>
      </c>
      <c r="N24" s="10" t="s">
        <v>13</v>
      </c>
      <c r="O24" s="7"/>
    </row>
    <row r="25" customFormat="false" ht="35.05" hidden="false" customHeight="false" outlineLevel="0" collapsed="false">
      <c r="A25" s="7" t="n">
        <v>46339</v>
      </c>
      <c r="B25" s="8" t="n">
        <f aca="true">IF(ISNUMBER(A25),A25-TODAY(),"")</f>
        <v>16</v>
      </c>
      <c r="C25" s="8" t="s">
        <v>170</v>
      </c>
      <c r="D25" s="9" t="s">
        <v>171</v>
      </c>
      <c r="E25" s="8" t="s">
        <v>53</v>
      </c>
      <c r="F25" s="8" t="s">
        <v>26</v>
      </c>
      <c r="G25" s="8" t="s">
        <v>62</v>
      </c>
      <c r="H25" s="8" t="s">
        <v>55</v>
      </c>
      <c r="I25" s="8" t="s">
        <v>172</v>
      </c>
      <c r="J25" s="10" t="n">
        <v>3</v>
      </c>
      <c r="K25" s="8" t="s">
        <v>87</v>
      </c>
      <c r="L25" s="11" t="s">
        <v>173</v>
      </c>
      <c r="M25" s="11" t="s">
        <v>174</v>
      </c>
      <c r="N25" s="10" t="s">
        <v>13</v>
      </c>
      <c r="O25" s="7"/>
    </row>
    <row r="26" customFormat="false" ht="57.45" hidden="false" customHeight="false" outlineLevel="0" collapsed="false">
      <c r="A26" s="7" t="n">
        <v>46341</v>
      </c>
      <c r="B26" s="8" t="n">
        <f aca="true">IF(ISNUMBER(A26),A26-TODAY(),"")</f>
        <v>18</v>
      </c>
      <c r="C26" s="8" t="s">
        <v>175</v>
      </c>
      <c r="D26" s="9" t="s">
        <v>176</v>
      </c>
      <c r="E26" s="8" t="s">
        <v>53</v>
      </c>
      <c r="F26" s="8" t="s">
        <v>28</v>
      </c>
      <c r="G26" s="8" t="s">
        <v>75</v>
      </c>
      <c r="H26" s="8" t="s">
        <v>93</v>
      </c>
      <c r="I26" s="8" t="s">
        <v>56</v>
      </c>
      <c r="J26" s="10" t="n">
        <v>4</v>
      </c>
      <c r="K26" s="8" t="s">
        <v>65</v>
      </c>
      <c r="L26" s="11" t="s">
        <v>177</v>
      </c>
      <c r="M26" s="11" t="s">
        <v>178</v>
      </c>
      <c r="N26" s="10" t="s">
        <v>13</v>
      </c>
      <c r="O26" s="7"/>
    </row>
    <row r="27" customFormat="false" ht="46.25" hidden="false" customHeight="false" outlineLevel="0" collapsed="false">
      <c r="A27" s="7" t="n">
        <v>46343</v>
      </c>
      <c r="B27" s="8" t="n">
        <f aca="true">IF(ISNUMBER(A27),A27-TODAY(),"")</f>
        <v>20</v>
      </c>
      <c r="C27" s="8" t="s">
        <v>125</v>
      </c>
      <c r="D27" s="9" t="s">
        <v>179</v>
      </c>
      <c r="E27" s="8" t="s">
        <v>74</v>
      </c>
      <c r="F27" s="8" t="s">
        <v>26</v>
      </c>
      <c r="G27" s="8" t="s">
        <v>180</v>
      </c>
      <c r="H27" s="8" t="s">
        <v>63</v>
      </c>
      <c r="I27" s="8" t="s">
        <v>56</v>
      </c>
      <c r="J27" s="10" t="n">
        <v>3</v>
      </c>
      <c r="K27" s="8" t="s">
        <v>87</v>
      </c>
      <c r="L27" s="11" t="s">
        <v>181</v>
      </c>
      <c r="M27" s="11" t="s">
        <v>182</v>
      </c>
      <c r="N27" s="10" t="s">
        <v>13</v>
      </c>
      <c r="O27" s="7"/>
    </row>
    <row r="28" customFormat="false" ht="35.05" hidden="false" customHeight="false" outlineLevel="0" collapsed="false">
      <c r="A28" s="7" t="n">
        <v>46343</v>
      </c>
      <c r="B28" s="8" t="n">
        <f aca="true">IF(ISNUMBER(A28),A28-TODAY(),"")</f>
        <v>20</v>
      </c>
      <c r="C28" s="8" t="s">
        <v>51</v>
      </c>
      <c r="D28" s="9" t="s">
        <v>183</v>
      </c>
      <c r="E28" s="8" t="s">
        <v>74</v>
      </c>
      <c r="F28" s="8" t="s">
        <v>27</v>
      </c>
      <c r="G28" s="8" t="s">
        <v>75</v>
      </c>
      <c r="H28" s="8" t="s">
        <v>55</v>
      </c>
      <c r="I28" s="8" t="s">
        <v>56</v>
      </c>
      <c r="J28" s="10" t="n">
        <v>3</v>
      </c>
      <c r="K28" s="8" t="s">
        <v>57</v>
      </c>
      <c r="L28" s="11" t="s">
        <v>184</v>
      </c>
      <c r="M28" s="11" t="s">
        <v>185</v>
      </c>
      <c r="N28" s="10" t="s">
        <v>13</v>
      </c>
      <c r="O28" s="7"/>
    </row>
    <row r="29" customFormat="false" ht="35.05" hidden="false" customHeight="false" outlineLevel="0" collapsed="false">
      <c r="A29" s="7" t="n">
        <v>46346</v>
      </c>
      <c r="B29" s="8" t="n">
        <f aca="true">IF(ISNUMBER(A29),A29-TODAY(),"")</f>
        <v>23</v>
      </c>
      <c r="C29" s="8" t="s">
        <v>186</v>
      </c>
      <c r="D29" s="9" t="s">
        <v>187</v>
      </c>
      <c r="E29" s="8" t="s">
        <v>74</v>
      </c>
      <c r="F29" s="8" t="s">
        <v>27</v>
      </c>
      <c r="G29" s="8" t="s">
        <v>75</v>
      </c>
      <c r="H29" s="8" t="s">
        <v>55</v>
      </c>
      <c r="I29" s="8" t="s">
        <v>56</v>
      </c>
      <c r="J29" s="10" t="n">
        <v>3</v>
      </c>
      <c r="K29" s="8" t="s">
        <v>57</v>
      </c>
      <c r="L29" s="11" t="s">
        <v>188</v>
      </c>
      <c r="M29" s="11" t="s">
        <v>189</v>
      </c>
      <c r="N29" s="10" t="s">
        <v>13</v>
      </c>
      <c r="O29" s="7"/>
    </row>
    <row r="30" customFormat="false" ht="46.25" hidden="false" customHeight="false" outlineLevel="0" collapsed="false">
      <c r="A30" s="7" t="n">
        <v>46348</v>
      </c>
      <c r="B30" s="8" t="n">
        <f aca="true">IF(ISNUMBER(A30),A30-TODAY(),"")</f>
        <v>25</v>
      </c>
      <c r="C30" s="8" t="s">
        <v>190</v>
      </c>
      <c r="D30" s="9" t="s">
        <v>191</v>
      </c>
      <c r="E30" s="8" t="s">
        <v>74</v>
      </c>
      <c r="F30" s="8" t="s">
        <v>32</v>
      </c>
      <c r="G30" s="8" t="s">
        <v>62</v>
      </c>
      <c r="H30" s="8" t="s">
        <v>55</v>
      </c>
      <c r="I30" s="8" t="s">
        <v>192</v>
      </c>
      <c r="J30" s="10" t="n">
        <v>3</v>
      </c>
      <c r="K30" s="8" t="s">
        <v>87</v>
      </c>
      <c r="L30" s="11" t="s">
        <v>193</v>
      </c>
      <c r="M30" s="11" t="s">
        <v>194</v>
      </c>
      <c r="N30" s="10" t="s">
        <v>13</v>
      </c>
      <c r="O30" s="7"/>
    </row>
    <row r="31" customFormat="false" ht="35.05" hidden="false" customHeight="false" outlineLevel="0" collapsed="false">
      <c r="A31" s="7" t="n">
        <v>46350</v>
      </c>
      <c r="B31" s="8" t="n">
        <f aca="true">IF(ISNUMBER(A31),A31-TODAY(),"")</f>
        <v>27</v>
      </c>
      <c r="C31" s="8" t="s">
        <v>195</v>
      </c>
      <c r="D31" s="9" t="s">
        <v>196</v>
      </c>
      <c r="E31" s="8" t="s">
        <v>74</v>
      </c>
      <c r="F31" s="8" t="s">
        <v>23</v>
      </c>
      <c r="G31" s="8" t="s">
        <v>197</v>
      </c>
      <c r="H31" s="8" t="s">
        <v>55</v>
      </c>
      <c r="I31" s="8" t="s">
        <v>198</v>
      </c>
      <c r="J31" s="10" t="n">
        <v>4</v>
      </c>
      <c r="K31" s="8" t="s">
        <v>57</v>
      </c>
      <c r="L31" s="11" t="s">
        <v>199</v>
      </c>
      <c r="M31" s="11" t="s">
        <v>200</v>
      </c>
      <c r="N31" s="10" t="s">
        <v>13</v>
      </c>
      <c r="O31" s="7"/>
    </row>
    <row r="32" customFormat="false" ht="35.05" hidden="false" customHeight="false" outlineLevel="0" collapsed="false">
      <c r="A32" s="7" t="n">
        <v>46359</v>
      </c>
      <c r="B32" s="8" t="n">
        <f aca="true">IF(ISNUMBER(A32),A32-TODAY(),"")</f>
        <v>36</v>
      </c>
      <c r="C32" s="8" t="s">
        <v>201</v>
      </c>
      <c r="D32" s="9" t="s">
        <v>202</v>
      </c>
      <c r="E32" s="8" t="s">
        <v>53</v>
      </c>
      <c r="F32" s="8" t="s">
        <v>26</v>
      </c>
      <c r="G32" s="8" t="s">
        <v>62</v>
      </c>
      <c r="H32" s="8" t="s">
        <v>63</v>
      </c>
      <c r="I32" s="8" t="s">
        <v>56</v>
      </c>
      <c r="J32" s="10" t="n">
        <v>3</v>
      </c>
      <c r="K32" s="8" t="s">
        <v>87</v>
      </c>
      <c r="L32" s="11" t="s">
        <v>203</v>
      </c>
      <c r="M32" s="11" t="s">
        <v>204</v>
      </c>
      <c r="N32" s="10" t="s">
        <v>13</v>
      </c>
      <c r="O32" s="7"/>
    </row>
    <row r="33" customFormat="false" ht="23.85" hidden="false" customHeight="false" outlineLevel="0" collapsed="false">
      <c r="A33" s="7" t="n">
        <v>46363</v>
      </c>
      <c r="B33" s="8" t="n">
        <f aca="true">IF(ISNUMBER(A33),A33-TODAY(),"")</f>
        <v>40</v>
      </c>
      <c r="C33" s="8" t="s">
        <v>195</v>
      </c>
      <c r="D33" s="9" t="s">
        <v>205</v>
      </c>
      <c r="E33" s="8" t="s">
        <v>74</v>
      </c>
      <c r="F33" s="8" t="s">
        <v>23</v>
      </c>
      <c r="G33" s="8" t="s">
        <v>206</v>
      </c>
      <c r="H33" s="8" t="s">
        <v>55</v>
      </c>
      <c r="I33" s="8" t="s">
        <v>56</v>
      </c>
      <c r="J33" s="10" t="n">
        <v>3</v>
      </c>
      <c r="K33" s="8" t="s">
        <v>57</v>
      </c>
      <c r="L33" s="11" t="s">
        <v>207</v>
      </c>
      <c r="M33" s="11" t="s">
        <v>208</v>
      </c>
      <c r="N33" s="10" t="s">
        <v>13</v>
      </c>
      <c r="O33" s="7"/>
    </row>
    <row r="34" customFormat="false" ht="35.05" hidden="false" customHeight="false" outlineLevel="0" collapsed="false">
      <c r="A34" s="7" t="n">
        <v>46367</v>
      </c>
      <c r="B34" s="8" t="n">
        <f aca="true">IF(ISNUMBER(A34),A34-TODAY(),"")</f>
        <v>44</v>
      </c>
      <c r="C34" s="8" t="s">
        <v>209</v>
      </c>
      <c r="D34" s="9" t="s">
        <v>210</v>
      </c>
      <c r="E34" s="8" t="s">
        <v>74</v>
      </c>
      <c r="F34" s="8" t="s">
        <v>23</v>
      </c>
      <c r="G34" s="8" t="s">
        <v>211</v>
      </c>
      <c r="H34" s="8" t="s">
        <v>55</v>
      </c>
      <c r="I34" s="8" t="s">
        <v>212</v>
      </c>
      <c r="J34" s="10" t="n">
        <v>4</v>
      </c>
      <c r="K34" s="8" t="s">
        <v>57</v>
      </c>
      <c r="L34" s="11" t="s">
        <v>213</v>
      </c>
      <c r="M34" s="11" t="s">
        <v>214</v>
      </c>
      <c r="N34" s="10" t="s">
        <v>13</v>
      </c>
      <c r="O34" s="7"/>
    </row>
    <row r="35" customFormat="false" ht="35.05" hidden="false" customHeight="false" outlineLevel="0" collapsed="false">
      <c r="A35" s="7" t="n">
        <v>46367</v>
      </c>
      <c r="B35" s="8" t="n">
        <f aca="true">IF(ISNUMBER(A35),A35-TODAY(),"")</f>
        <v>44</v>
      </c>
      <c r="C35" s="8" t="s">
        <v>209</v>
      </c>
      <c r="D35" s="9" t="s">
        <v>215</v>
      </c>
      <c r="E35" s="8" t="s">
        <v>74</v>
      </c>
      <c r="F35" s="8" t="s">
        <v>23</v>
      </c>
      <c r="G35" s="8" t="s">
        <v>216</v>
      </c>
      <c r="H35" s="8" t="s">
        <v>55</v>
      </c>
      <c r="I35" s="8" t="s">
        <v>217</v>
      </c>
      <c r="J35" s="10" t="n">
        <v>3</v>
      </c>
      <c r="K35" s="8" t="s">
        <v>57</v>
      </c>
      <c r="L35" s="11" t="s">
        <v>218</v>
      </c>
      <c r="M35" s="11" t="s">
        <v>219</v>
      </c>
      <c r="N35" s="10" t="s">
        <v>13</v>
      </c>
      <c r="O35" s="7"/>
    </row>
    <row r="36" customFormat="false" ht="35.05" hidden="false" customHeight="false" outlineLevel="0" collapsed="false">
      <c r="A36" s="7" t="n">
        <v>46367</v>
      </c>
      <c r="B36" s="8" t="n">
        <f aca="true">IF(ISNUMBER(A36),A36-TODAY(),"")</f>
        <v>44</v>
      </c>
      <c r="C36" s="8" t="s">
        <v>209</v>
      </c>
      <c r="D36" s="9" t="s">
        <v>220</v>
      </c>
      <c r="E36" s="8" t="s">
        <v>74</v>
      </c>
      <c r="F36" s="8" t="s">
        <v>23</v>
      </c>
      <c r="G36" s="8" t="s">
        <v>216</v>
      </c>
      <c r="H36" s="8" t="s">
        <v>55</v>
      </c>
      <c r="I36" s="8" t="s">
        <v>56</v>
      </c>
      <c r="J36" s="10" t="n">
        <v>3</v>
      </c>
      <c r="K36" s="8" t="s">
        <v>57</v>
      </c>
      <c r="L36" s="11" t="s">
        <v>221</v>
      </c>
      <c r="M36" s="11" t="s">
        <v>222</v>
      </c>
      <c r="N36" s="10" t="s">
        <v>13</v>
      </c>
      <c r="O36" s="7"/>
    </row>
    <row r="37" customFormat="false" ht="35.05" hidden="false" customHeight="false" outlineLevel="0" collapsed="false">
      <c r="A37" s="7" t="n">
        <v>46387</v>
      </c>
      <c r="B37" s="8" t="n">
        <f aca="true">IF(ISNUMBER(A37),A37-TODAY(),"")</f>
        <v>64</v>
      </c>
      <c r="C37" s="8" t="s">
        <v>223</v>
      </c>
      <c r="D37" s="9" t="s">
        <v>224</v>
      </c>
      <c r="E37" s="8" t="s">
        <v>74</v>
      </c>
      <c r="F37" s="8" t="s">
        <v>33</v>
      </c>
      <c r="G37" s="8" t="s">
        <v>225</v>
      </c>
      <c r="H37" s="8" t="s">
        <v>55</v>
      </c>
      <c r="I37" s="8" t="s">
        <v>56</v>
      </c>
      <c r="J37" s="10" t="n">
        <v>3</v>
      </c>
      <c r="K37" s="8" t="s">
        <v>87</v>
      </c>
      <c r="L37" s="11" t="s">
        <v>226</v>
      </c>
      <c r="M37" s="11" t="s">
        <v>227</v>
      </c>
      <c r="N37" s="10" t="s">
        <v>13</v>
      </c>
      <c r="O37" s="7"/>
    </row>
    <row r="38" customFormat="false" ht="35.05" hidden="false" customHeight="false" outlineLevel="0" collapsed="false">
      <c r="A38" s="7" t="n">
        <v>46387</v>
      </c>
      <c r="B38" s="8" t="n">
        <f aca="true">IF(ISNUMBER(A38),A38-TODAY(),"")</f>
        <v>64</v>
      </c>
      <c r="C38" s="8" t="s">
        <v>228</v>
      </c>
      <c r="D38" s="9" t="s">
        <v>229</v>
      </c>
      <c r="E38" s="8" t="s">
        <v>74</v>
      </c>
      <c r="F38" s="8" t="s">
        <v>33</v>
      </c>
      <c r="G38" s="8" t="s">
        <v>62</v>
      </c>
      <c r="H38" s="8" t="s">
        <v>93</v>
      </c>
      <c r="I38" s="8" t="s">
        <v>230</v>
      </c>
      <c r="J38" s="10" t="n">
        <v>3</v>
      </c>
      <c r="K38" s="8" t="s">
        <v>87</v>
      </c>
      <c r="L38" s="11" t="s">
        <v>231</v>
      </c>
      <c r="M38" s="11" t="s">
        <v>232</v>
      </c>
      <c r="N38" s="10" t="s">
        <v>13</v>
      </c>
      <c r="O38" s="7"/>
    </row>
    <row r="39" customFormat="false" ht="46.25" hidden="false" customHeight="false" outlineLevel="0" collapsed="false">
      <c r="A39" s="7" t="n">
        <v>46387</v>
      </c>
      <c r="B39" s="8" t="n">
        <f aca="true">IF(ISNUMBER(A39),A39-TODAY(),"")</f>
        <v>64</v>
      </c>
      <c r="C39" s="8" t="s">
        <v>233</v>
      </c>
      <c r="D39" s="9" t="s">
        <v>234</v>
      </c>
      <c r="E39" s="8" t="s">
        <v>53</v>
      </c>
      <c r="F39" s="8" t="s">
        <v>29</v>
      </c>
      <c r="G39" s="8" t="s">
        <v>62</v>
      </c>
      <c r="H39" s="8" t="s">
        <v>55</v>
      </c>
      <c r="I39" s="8" t="s">
        <v>235</v>
      </c>
      <c r="J39" s="10" t="n">
        <v>3</v>
      </c>
      <c r="K39" s="8" t="s">
        <v>65</v>
      </c>
      <c r="L39" s="11" t="s">
        <v>236</v>
      </c>
      <c r="M39" s="11" t="s">
        <v>237</v>
      </c>
      <c r="N39" s="10" t="s">
        <v>13</v>
      </c>
      <c r="O39" s="7"/>
    </row>
    <row r="40" customFormat="false" ht="23.85" hidden="false" customHeight="false" outlineLevel="0" collapsed="false">
      <c r="A40" s="7" t="n">
        <v>46387</v>
      </c>
      <c r="B40" s="8" t="n">
        <f aca="true">IF(ISNUMBER(A40),A40-TODAY(),"")</f>
        <v>64</v>
      </c>
      <c r="C40" s="8" t="s">
        <v>233</v>
      </c>
      <c r="D40" s="9" t="s">
        <v>238</v>
      </c>
      <c r="E40" s="8" t="s">
        <v>53</v>
      </c>
      <c r="F40" s="8" t="s">
        <v>29</v>
      </c>
      <c r="G40" s="8" t="s">
        <v>62</v>
      </c>
      <c r="H40" s="8" t="s">
        <v>55</v>
      </c>
      <c r="I40" s="8" t="s">
        <v>239</v>
      </c>
      <c r="J40" s="10" t="n">
        <v>3</v>
      </c>
      <c r="K40" s="8" t="s">
        <v>65</v>
      </c>
      <c r="L40" s="11" t="s">
        <v>240</v>
      </c>
      <c r="M40" s="11" t="s">
        <v>241</v>
      </c>
      <c r="N40" s="10" t="s">
        <v>13</v>
      </c>
      <c r="O40" s="7"/>
    </row>
    <row r="41" customFormat="false" ht="79.85" hidden="false" customHeight="false" outlineLevel="0" collapsed="false">
      <c r="A41" s="7" t="n">
        <v>46390</v>
      </c>
      <c r="B41" s="8" t="n">
        <f aca="true">IF(ISNUMBER(A41),A41-TODAY(),"")</f>
        <v>67</v>
      </c>
      <c r="C41" s="8" t="s">
        <v>242</v>
      </c>
      <c r="D41" s="9" t="s">
        <v>243</v>
      </c>
      <c r="E41" s="8" t="s">
        <v>74</v>
      </c>
      <c r="F41" s="8" t="s">
        <v>27</v>
      </c>
      <c r="G41" s="8" t="s">
        <v>75</v>
      </c>
      <c r="H41" s="8" t="s">
        <v>63</v>
      </c>
      <c r="I41" s="8" t="s">
        <v>56</v>
      </c>
      <c r="J41" s="10" t="n">
        <v>3</v>
      </c>
      <c r="K41" s="8" t="s">
        <v>57</v>
      </c>
      <c r="L41" s="11" t="s">
        <v>244</v>
      </c>
      <c r="M41" s="11" t="s">
        <v>245</v>
      </c>
      <c r="N41" s="10" t="s">
        <v>13</v>
      </c>
      <c r="O41" s="7"/>
    </row>
    <row r="42" customFormat="false" ht="46.25" hidden="false" customHeight="false" outlineLevel="0" collapsed="false">
      <c r="A42" s="7" t="n">
        <v>46395</v>
      </c>
      <c r="B42" s="8" t="n">
        <f aca="true">IF(ISNUMBER(A42),A42-TODAY(),"")</f>
        <v>72</v>
      </c>
      <c r="C42" s="8" t="s">
        <v>148</v>
      </c>
      <c r="D42" s="9" t="s">
        <v>246</v>
      </c>
      <c r="E42" s="8" t="s">
        <v>74</v>
      </c>
      <c r="F42" s="8" t="s">
        <v>23</v>
      </c>
      <c r="G42" s="8" t="s">
        <v>247</v>
      </c>
      <c r="H42" s="8" t="s">
        <v>248</v>
      </c>
      <c r="I42" s="8" t="s">
        <v>249</v>
      </c>
      <c r="J42" s="10" t="n">
        <v>5</v>
      </c>
      <c r="K42" s="8" t="s">
        <v>57</v>
      </c>
      <c r="L42" s="11" t="s">
        <v>250</v>
      </c>
      <c r="M42" s="11" t="s">
        <v>251</v>
      </c>
      <c r="N42" s="10" t="s">
        <v>13</v>
      </c>
      <c r="O42" s="7"/>
    </row>
    <row r="43" customFormat="false" ht="57.45" hidden="false" customHeight="false" outlineLevel="0" collapsed="false">
      <c r="A43" s="7" t="n">
        <v>46418</v>
      </c>
      <c r="B43" s="8" t="n">
        <f aca="true">IF(ISNUMBER(A43),A43-TODAY(),"")</f>
        <v>95</v>
      </c>
      <c r="C43" s="8" t="s">
        <v>252</v>
      </c>
      <c r="D43" s="9" t="s">
        <v>253</v>
      </c>
      <c r="E43" s="8" t="s">
        <v>53</v>
      </c>
      <c r="F43" s="8" t="s">
        <v>28</v>
      </c>
      <c r="G43" s="8" t="s">
        <v>75</v>
      </c>
      <c r="H43" s="8" t="s">
        <v>63</v>
      </c>
      <c r="I43" s="8" t="s">
        <v>56</v>
      </c>
      <c r="J43" s="10" t="n">
        <v>4</v>
      </c>
      <c r="K43" s="8" t="s">
        <v>65</v>
      </c>
      <c r="L43" s="11" t="s">
        <v>254</v>
      </c>
      <c r="M43" s="11" t="s">
        <v>255</v>
      </c>
      <c r="N43" s="10" t="s">
        <v>13</v>
      </c>
      <c r="O43" s="7"/>
    </row>
    <row r="44" customFormat="false" ht="46.25" hidden="false" customHeight="false" outlineLevel="0" collapsed="false">
      <c r="A44" s="7" t="n">
        <v>46418</v>
      </c>
      <c r="B44" s="8" t="n">
        <f aca="true">IF(ISNUMBER(A44),A44-TODAY(),"")</f>
        <v>95</v>
      </c>
      <c r="C44" s="8" t="s">
        <v>256</v>
      </c>
      <c r="D44" s="9" t="s">
        <v>257</v>
      </c>
      <c r="E44" s="8" t="s">
        <v>74</v>
      </c>
      <c r="F44" s="8" t="s">
        <v>34</v>
      </c>
      <c r="G44" s="8" t="s">
        <v>258</v>
      </c>
      <c r="H44" s="8" t="s">
        <v>63</v>
      </c>
      <c r="I44" s="8" t="s">
        <v>56</v>
      </c>
      <c r="J44" s="10" t="n">
        <v>3</v>
      </c>
      <c r="K44" s="8" t="s">
        <v>95</v>
      </c>
      <c r="L44" s="11" t="s">
        <v>259</v>
      </c>
      <c r="M44" s="11" t="s">
        <v>260</v>
      </c>
      <c r="N44" s="10" t="s">
        <v>13</v>
      </c>
      <c r="O44" s="7"/>
    </row>
    <row r="45" customFormat="false" ht="35.05" hidden="false" customHeight="false" outlineLevel="0" collapsed="false">
      <c r="A45" s="7" t="s">
        <v>261</v>
      </c>
      <c r="B45" s="8" t="str">
        <f aca="true">IF(ISNUMBER(A45),A45-TODAY(),"")</f>
        <v/>
      </c>
      <c r="C45" s="8" t="s">
        <v>262</v>
      </c>
      <c r="D45" s="9" t="s">
        <v>263</v>
      </c>
      <c r="E45" s="8" t="s">
        <v>53</v>
      </c>
      <c r="F45" s="8" t="s">
        <v>11</v>
      </c>
      <c r="G45" s="8" t="s">
        <v>264</v>
      </c>
      <c r="H45" s="8" t="s">
        <v>63</v>
      </c>
      <c r="I45" s="8" t="s">
        <v>265</v>
      </c>
      <c r="J45" s="10" t="n">
        <v>5</v>
      </c>
      <c r="K45" s="8" t="s">
        <v>95</v>
      </c>
      <c r="L45" s="11" t="s">
        <v>266</v>
      </c>
      <c r="M45" s="11" t="s">
        <v>267</v>
      </c>
      <c r="N45" s="10" t="s">
        <v>13</v>
      </c>
      <c r="O45" s="7"/>
    </row>
    <row r="46" customFormat="false" ht="35.05" hidden="false" customHeight="false" outlineLevel="0" collapsed="false">
      <c r="A46" s="7" t="s">
        <v>261</v>
      </c>
      <c r="B46" s="8" t="str">
        <f aca="true">IF(ISNUMBER(A46),A46-TODAY(),"")</f>
        <v/>
      </c>
      <c r="C46" s="8" t="s">
        <v>268</v>
      </c>
      <c r="D46" s="9" t="s">
        <v>269</v>
      </c>
      <c r="E46" s="8" t="s">
        <v>53</v>
      </c>
      <c r="F46" s="8" t="s">
        <v>27</v>
      </c>
      <c r="G46" s="8" t="s">
        <v>270</v>
      </c>
      <c r="H46" s="8" t="s">
        <v>63</v>
      </c>
      <c r="I46" s="8" t="s">
        <v>271</v>
      </c>
      <c r="J46" s="10" t="n">
        <v>5</v>
      </c>
      <c r="K46" s="8" t="s">
        <v>57</v>
      </c>
      <c r="L46" s="11" t="s">
        <v>272</v>
      </c>
      <c r="M46" s="11" t="s">
        <v>273</v>
      </c>
      <c r="N46" s="10" t="s">
        <v>13</v>
      </c>
      <c r="O46" s="7"/>
    </row>
    <row r="47" customFormat="false" ht="57.45" hidden="false" customHeight="false" outlineLevel="0" collapsed="false">
      <c r="A47" s="7" t="s">
        <v>261</v>
      </c>
      <c r="B47" s="8" t="str">
        <f aca="true">IF(ISNUMBER(A47),A47-TODAY(),"")</f>
        <v/>
      </c>
      <c r="C47" s="8" t="s">
        <v>274</v>
      </c>
      <c r="D47" s="9" t="s">
        <v>275</v>
      </c>
      <c r="E47" s="8" t="s">
        <v>53</v>
      </c>
      <c r="F47" s="8" t="s">
        <v>27</v>
      </c>
      <c r="G47" s="8" t="s">
        <v>62</v>
      </c>
      <c r="H47" s="8" t="s">
        <v>93</v>
      </c>
      <c r="I47" s="8" t="s">
        <v>276</v>
      </c>
      <c r="J47" s="10" t="n">
        <v>5</v>
      </c>
      <c r="K47" s="8" t="s">
        <v>57</v>
      </c>
      <c r="L47" s="11" t="s">
        <v>277</v>
      </c>
      <c r="M47" s="11" t="s">
        <v>278</v>
      </c>
      <c r="N47" s="10" t="s">
        <v>13</v>
      </c>
      <c r="O47" s="7"/>
    </row>
    <row r="48" customFormat="false" ht="35.05" hidden="false" customHeight="false" outlineLevel="0" collapsed="false">
      <c r="A48" s="7" t="s">
        <v>261</v>
      </c>
      <c r="B48" s="8" t="str">
        <f aca="true">IF(ISNUMBER(A48),A48-TODAY(),"")</f>
        <v/>
      </c>
      <c r="C48" s="8" t="s">
        <v>60</v>
      </c>
      <c r="D48" s="9" t="s">
        <v>279</v>
      </c>
      <c r="E48" s="8" t="s">
        <v>53</v>
      </c>
      <c r="F48" s="8" t="s">
        <v>29</v>
      </c>
      <c r="G48" s="8" t="s">
        <v>280</v>
      </c>
      <c r="H48" s="8" t="s">
        <v>63</v>
      </c>
      <c r="I48" s="8" t="s">
        <v>64</v>
      </c>
      <c r="J48" s="10" t="n">
        <v>5</v>
      </c>
      <c r="K48" s="8" t="s">
        <v>65</v>
      </c>
      <c r="L48" s="11" t="s">
        <v>281</v>
      </c>
      <c r="M48" s="11" t="s">
        <v>282</v>
      </c>
      <c r="N48" s="10" t="s">
        <v>13</v>
      </c>
      <c r="O48" s="7"/>
    </row>
    <row r="49" customFormat="false" ht="46.25" hidden="false" customHeight="false" outlineLevel="0" collapsed="false">
      <c r="A49" s="7" t="s">
        <v>261</v>
      </c>
      <c r="B49" s="8" t="str">
        <f aca="true">IF(ISNUMBER(A49),A49-TODAY(),"")</f>
        <v/>
      </c>
      <c r="C49" s="8" t="s">
        <v>125</v>
      </c>
      <c r="D49" s="9" t="s">
        <v>283</v>
      </c>
      <c r="E49" s="8" t="s">
        <v>53</v>
      </c>
      <c r="F49" s="8" t="s">
        <v>20</v>
      </c>
      <c r="G49" s="8" t="s">
        <v>284</v>
      </c>
      <c r="H49" s="8" t="s">
        <v>55</v>
      </c>
      <c r="I49" s="8" t="s">
        <v>56</v>
      </c>
      <c r="J49" s="10" t="n">
        <v>5</v>
      </c>
      <c r="K49" s="8" t="s">
        <v>87</v>
      </c>
      <c r="L49" s="11" t="s">
        <v>285</v>
      </c>
      <c r="M49" s="11" t="s">
        <v>286</v>
      </c>
      <c r="N49" s="10" t="s">
        <v>13</v>
      </c>
      <c r="O49" s="7"/>
    </row>
    <row r="50" customFormat="false" ht="57.45" hidden="false" customHeight="false" outlineLevel="0" collapsed="false">
      <c r="A50" s="7" t="s">
        <v>261</v>
      </c>
      <c r="B50" s="8" t="str">
        <f aca="true">IF(ISNUMBER(A50),A50-TODAY(),"")</f>
        <v/>
      </c>
      <c r="C50" s="8" t="s">
        <v>84</v>
      </c>
      <c r="D50" s="9" t="s">
        <v>287</v>
      </c>
      <c r="E50" s="8" t="s">
        <v>74</v>
      </c>
      <c r="F50" s="8" t="s">
        <v>20</v>
      </c>
      <c r="G50" s="8" t="s">
        <v>86</v>
      </c>
      <c r="H50" s="8" t="s">
        <v>55</v>
      </c>
      <c r="I50" s="8" t="s">
        <v>56</v>
      </c>
      <c r="J50" s="10" t="n">
        <v>5</v>
      </c>
      <c r="K50" s="8" t="s">
        <v>87</v>
      </c>
      <c r="L50" s="11" t="s">
        <v>288</v>
      </c>
      <c r="M50" s="11" t="s">
        <v>289</v>
      </c>
      <c r="N50" s="10" t="s">
        <v>13</v>
      </c>
      <c r="O50" s="7"/>
    </row>
    <row r="51" customFormat="false" ht="46.25" hidden="false" customHeight="false" outlineLevel="0" collapsed="false">
      <c r="A51" s="7" t="s">
        <v>261</v>
      </c>
      <c r="B51" s="8" t="str">
        <f aca="true">IF(ISNUMBER(A51),A51-TODAY(),"")</f>
        <v/>
      </c>
      <c r="C51" s="8" t="s">
        <v>290</v>
      </c>
      <c r="D51" s="9" t="s">
        <v>291</v>
      </c>
      <c r="E51" s="8" t="s">
        <v>53</v>
      </c>
      <c r="F51" s="8" t="s">
        <v>32</v>
      </c>
      <c r="G51" s="8" t="s">
        <v>292</v>
      </c>
      <c r="H51" s="8" t="s">
        <v>63</v>
      </c>
      <c r="I51" s="8" t="s">
        <v>56</v>
      </c>
      <c r="J51" s="10" t="n">
        <v>5</v>
      </c>
      <c r="K51" s="8" t="s">
        <v>87</v>
      </c>
      <c r="L51" s="11" t="s">
        <v>293</v>
      </c>
      <c r="M51" s="11" t="s">
        <v>294</v>
      </c>
      <c r="N51" s="10" t="s">
        <v>13</v>
      </c>
      <c r="O51" s="7"/>
    </row>
    <row r="52" customFormat="false" ht="35.05" hidden="false" customHeight="false" outlineLevel="0" collapsed="false">
      <c r="A52" s="7" t="s">
        <v>261</v>
      </c>
      <c r="B52" s="8" t="str">
        <f aca="true">IF(ISNUMBER(A52),A52-TODAY(),"")</f>
        <v/>
      </c>
      <c r="C52" s="8" t="s">
        <v>295</v>
      </c>
      <c r="D52" s="9" t="s">
        <v>296</v>
      </c>
      <c r="E52" s="8" t="s">
        <v>53</v>
      </c>
      <c r="F52" s="8" t="s">
        <v>33</v>
      </c>
      <c r="G52" s="8" t="s">
        <v>297</v>
      </c>
      <c r="H52" s="8" t="s">
        <v>93</v>
      </c>
      <c r="I52" s="8" t="s">
        <v>298</v>
      </c>
      <c r="J52" s="10" t="n">
        <v>4</v>
      </c>
      <c r="K52" s="8" t="s">
        <v>87</v>
      </c>
      <c r="L52" s="11" t="s">
        <v>299</v>
      </c>
      <c r="M52" s="11" t="s">
        <v>300</v>
      </c>
      <c r="N52" s="10" t="s">
        <v>13</v>
      </c>
      <c r="O52" s="7"/>
    </row>
    <row r="53" customFormat="false" ht="35.05" hidden="false" customHeight="false" outlineLevel="0" collapsed="false">
      <c r="A53" s="7" t="s">
        <v>261</v>
      </c>
      <c r="B53" s="8" t="str">
        <f aca="true">IF(ISNUMBER(A53),A53-TODAY(),"")</f>
        <v/>
      </c>
      <c r="C53" s="8" t="s">
        <v>223</v>
      </c>
      <c r="D53" s="9" t="s">
        <v>301</v>
      </c>
      <c r="E53" s="8" t="s">
        <v>53</v>
      </c>
      <c r="F53" s="8" t="s">
        <v>32</v>
      </c>
      <c r="G53" s="8" t="s">
        <v>302</v>
      </c>
      <c r="H53" s="8" t="s">
        <v>63</v>
      </c>
      <c r="I53" s="8" t="s">
        <v>303</v>
      </c>
      <c r="J53" s="10" t="n">
        <v>4</v>
      </c>
      <c r="K53" s="8" t="s">
        <v>87</v>
      </c>
      <c r="L53" s="11" t="s">
        <v>304</v>
      </c>
      <c r="M53" s="11" t="s">
        <v>305</v>
      </c>
      <c r="N53" s="10" t="s">
        <v>13</v>
      </c>
      <c r="O53" s="7"/>
    </row>
    <row r="54" customFormat="false" ht="35.05" hidden="false" customHeight="false" outlineLevel="0" collapsed="false">
      <c r="A54" s="7" t="s">
        <v>261</v>
      </c>
      <c r="B54" s="8" t="str">
        <f aca="true">IF(ISNUMBER(A54),A54-TODAY(),"")</f>
        <v/>
      </c>
      <c r="C54" s="8" t="s">
        <v>306</v>
      </c>
      <c r="D54" s="9" t="s">
        <v>307</v>
      </c>
      <c r="E54" s="8" t="s">
        <v>74</v>
      </c>
      <c r="F54" s="8" t="s">
        <v>33</v>
      </c>
      <c r="G54" s="8" t="s">
        <v>62</v>
      </c>
      <c r="H54" s="8" t="s">
        <v>55</v>
      </c>
      <c r="I54" s="8" t="s">
        <v>308</v>
      </c>
      <c r="J54" s="10" t="n">
        <v>4</v>
      </c>
      <c r="K54" s="8" t="s">
        <v>65</v>
      </c>
      <c r="L54" s="11" t="s">
        <v>309</v>
      </c>
      <c r="M54" s="11" t="s">
        <v>310</v>
      </c>
      <c r="N54" s="10" t="s">
        <v>13</v>
      </c>
      <c r="O54" s="7"/>
    </row>
    <row r="55" customFormat="false" ht="35.05" hidden="false" customHeight="false" outlineLevel="0" collapsed="false">
      <c r="A55" s="7" t="s">
        <v>261</v>
      </c>
      <c r="B55" s="8" t="str">
        <f aca="true">IF(ISNUMBER(A55),A55-TODAY(),"")</f>
        <v/>
      </c>
      <c r="C55" s="8" t="s">
        <v>311</v>
      </c>
      <c r="D55" s="9" t="s">
        <v>312</v>
      </c>
      <c r="E55" s="8" t="s">
        <v>53</v>
      </c>
      <c r="F55" s="8" t="s">
        <v>32</v>
      </c>
      <c r="G55" s="8" t="s">
        <v>313</v>
      </c>
      <c r="H55" s="8" t="s">
        <v>63</v>
      </c>
      <c r="I55" s="8" t="s">
        <v>314</v>
      </c>
      <c r="J55" s="10" t="n">
        <v>4</v>
      </c>
      <c r="K55" s="8" t="s">
        <v>87</v>
      </c>
      <c r="L55" s="11" t="s">
        <v>315</v>
      </c>
      <c r="M55" s="11" t="s">
        <v>316</v>
      </c>
      <c r="N55" s="10" t="s">
        <v>13</v>
      </c>
      <c r="O55" s="7"/>
    </row>
    <row r="56" customFormat="false" ht="35.05" hidden="false" customHeight="false" outlineLevel="0" collapsed="false">
      <c r="A56" s="7" t="s">
        <v>261</v>
      </c>
      <c r="B56" s="8" t="str">
        <f aca="true">IF(ISNUMBER(A56),A56-TODAY(),"")</f>
        <v/>
      </c>
      <c r="C56" s="8" t="s">
        <v>317</v>
      </c>
      <c r="D56" s="9" t="s">
        <v>318</v>
      </c>
      <c r="E56" s="8" t="s">
        <v>53</v>
      </c>
      <c r="F56" s="8" t="s">
        <v>32</v>
      </c>
      <c r="G56" s="8" t="s">
        <v>319</v>
      </c>
      <c r="H56" s="8" t="s">
        <v>63</v>
      </c>
      <c r="I56" s="8" t="s">
        <v>320</v>
      </c>
      <c r="J56" s="10" t="n">
        <v>4</v>
      </c>
      <c r="K56" s="8" t="s">
        <v>87</v>
      </c>
      <c r="L56" s="11" t="s">
        <v>321</v>
      </c>
      <c r="M56" s="11" t="s">
        <v>322</v>
      </c>
      <c r="N56" s="10" t="s">
        <v>13</v>
      </c>
      <c r="O56" s="7"/>
    </row>
    <row r="57" customFormat="false" ht="35.05" hidden="false" customHeight="false" outlineLevel="0" collapsed="false">
      <c r="A57" s="7" t="s">
        <v>261</v>
      </c>
      <c r="B57" s="8" t="str">
        <f aca="true">IF(ISNUMBER(A57),A57-TODAY(),"")</f>
        <v/>
      </c>
      <c r="C57" s="8" t="s">
        <v>323</v>
      </c>
      <c r="D57" s="9" t="s">
        <v>324</v>
      </c>
      <c r="E57" s="8" t="s">
        <v>53</v>
      </c>
      <c r="F57" s="8" t="s">
        <v>33</v>
      </c>
      <c r="G57" s="8" t="s">
        <v>62</v>
      </c>
      <c r="H57" s="8" t="s">
        <v>93</v>
      </c>
      <c r="I57" s="8" t="s">
        <v>325</v>
      </c>
      <c r="J57" s="10" t="n">
        <v>4</v>
      </c>
      <c r="K57" s="8" t="s">
        <v>87</v>
      </c>
      <c r="L57" s="11" t="s">
        <v>326</v>
      </c>
      <c r="M57" s="11" t="s">
        <v>327</v>
      </c>
      <c r="N57" s="10" t="s">
        <v>13</v>
      </c>
      <c r="O57" s="7"/>
    </row>
    <row r="58" customFormat="false" ht="35.05" hidden="false" customHeight="false" outlineLevel="0" collapsed="false">
      <c r="A58" s="7" t="s">
        <v>261</v>
      </c>
      <c r="B58" s="8" t="str">
        <f aca="true">IF(ISNUMBER(A58),A58-TODAY(),"")</f>
        <v/>
      </c>
      <c r="C58" s="8" t="s">
        <v>328</v>
      </c>
      <c r="D58" s="9" t="s">
        <v>329</v>
      </c>
      <c r="E58" s="8" t="s">
        <v>74</v>
      </c>
      <c r="F58" s="8" t="s">
        <v>26</v>
      </c>
      <c r="G58" s="8" t="s">
        <v>62</v>
      </c>
      <c r="H58" s="8" t="s">
        <v>93</v>
      </c>
      <c r="I58" s="8" t="s">
        <v>330</v>
      </c>
      <c r="J58" s="10" t="n">
        <v>4</v>
      </c>
      <c r="K58" s="8" t="s">
        <v>87</v>
      </c>
      <c r="L58" s="11" t="s">
        <v>331</v>
      </c>
      <c r="M58" s="11" t="s">
        <v>332</v>
      </c>
      <c r="N58" s="10" t="s">
        <v>13</v>
      </c>
      <c r="O58" s="7"/>
    </row>
    <row r="59" customFormat="false" ht="35.05" hidden="false" customHeight="false" outlineLevel="0" collapsed="false">
      <c r="A59" s="7" t="s">
        <v>261</v>
      </c>
      <c r="B59" s="8" t="str">
        <f aca="true">IF(ISNUMBER(A59),A59-TODAY(),"")</f>
        <v/>
      </c>
      <c r="C59" s="8" t="s">
        <v>110</v>
      </c>
      <c r="D59" s="9" t="s">
        <v>333</v>
      </c>
      <c r="E59" s="8" t="s">
        <v>74</v>
      </c>
      <c r="F59" s="8" t="s">
        <v>26</v>
      </c>
      <c r="G59" s="8" t="s">
        <v>334</v>
      </c>
      <c r="H59" s="8" t="s">
        <v>55</v>
      </c>
      <c r="I59" s="8" t="s">
        <v>56</v>
      </c>
      <c r="J59" s="10" t="n">
        <v>4</v>
      </c>
      <c r="K59" s="8" t="s">
        <v>87</v>
      </c>
      <c r="L59" s="11" t="s">
        <v>335</v>
      </c>
      <c r="M59" s="11" t="s">
        <v>336</v>
      </c>
      <c r="N59" s="10" t="s">
        <v>13</v>
      </c>
      <c r="O59" s="7"/>
    </row>
    <row r="60" customFormat="false" ht="23.85" hidden="false" customHeight="false" outlineLevel="0" collapsed="false">
      <c r="A60" s="7" t="s">
        <v>261</v>
      </c>
      <c r="B60" s="8" t="str">
        <f aca="true">IF(ISNUMBER(A60),A60-TODAY(),"")</f>
        <v/>
      </c>
      <c r="C60" s="8" t="s">
        <v>110</v>
      </c>
      <c r="D60" s="9" t="s">
        <v>337</v>
      </c>
      <c r="E60" s="8" t="s">
        <v>74</v>
      </c>
      <c r="F60" s="8" t="s">
        <v>26</v>
      </c>
      <c r="G60" s="8" t="s">
        <v>338</v>
      </c>
      <c r="H60" s="8" t="s">
        <v>55</v>
      </c>
      <c r="I60" s="8" t="s">
        <v>56</v>
      </c>
      <c r="J60" s="10" t="n">
        <v>4</v>
      </c>
      <c r="K60" s="8" t="s">
        <v>87</v>
      </c>
      <c r="L60" s="11" t="s">
        <v>339</v>
      </c>
      <c r="M60" s="11" t="s">
        <v>340</v>
      </c>
      <c r="N60" s="10" t="s">
        <v>13</v>
      </c>
      <c r="O60" s="7"/>
    </row>
    <row r="61" customFormat="false" ht="35.05" hidden="false" customHeight="false" outlineLevel="0" collapsed="false">
      <c r="A61" s="7" t="s">
        <v>261</v>
      </c>
      <c r="B61" s="8" t="str">
        <f aca="true">IF(ISNUMBER(A61),A61-TODAY(),"")</f>
        <v/>
      </c>
      <c r="C61" s="8" t="s">
        <v>274</v>
      </c>
      <c r="D61" s="9" t="s">
        <v>341</v>
      </c>
      <c r="E61" s="8" t="s">
        <v>53</v>
      </c>
      <c r="F61" s="8" t="s">
        <v>27</v>
      </c>
      <c r="G61" s="8" t="s">
        <v>62</v>
      </c>
      <c r="H61" s="8" t="s">
        <v>93</v>
      </c>
      <c r="I61" s="8" t="s">
        <v>342</v>
      </c>
      <c r="J61" s="10" t="n">
        <v>4</v>
      </c>
      <c r="K61" s="8" t="s">
        <v>57</v>
      </c>
      <c r="L61" s="11" t="s">
        <v>343</v>
      </c>
      <c r="M61" s="11" t="s">
        <v>344</v>
      </c>
      <c r="N61" s="10" t="s">
        <v>13</v>
      </c>
      <c r="O61" s="7"/>
    </row>
    <row r="62" customFormat="false" ht="46.25" hidden="false" customHeight="false" outlineLevel="0" collapsed="false">
      <c r="A62" s="7" t="s">
        <v>261</v>
      </c>
      <c r="B62" s="8" t="str">
        <f aca="true">IF(ISNUMBER(A62),A62-TODAY(),"")</f>
        <v/>
      </c>
      <c r="C62" s="8" t="s">
        <v>345</v>
      </c>
      <c r="D62" s="9" t="s">
        <v>346</v>
      </c>
      <c r="E62" s="8" t="s">
        <v>53</v>
      </c>
      <c r="F62" s="8" t="s">
        <v>28</v>
      </c>
      <c r="G62" s="8" t="s">
        <v>347</v>
      </c>
      <c r="H62" s="8" t="s">
        <v>63</v>
      </c>
      <c r="I62" s="8" t="s">
        <v>348</v>
      </c>
      <c r="J62" s="10" t="n">
        <v>4</v>
      </c>
      <c r="K62" s="8" t="s">
        <v>65</v>
      </c>
      <c r="L62" s="11" t="s">
        <v>349</v>
      </c>
      <c r="M62" s="11" t="s">
        <v>350</v>
      </c>
      <c r="N62" s="10" t="s">
        <v>13</v>
      </c>
      <c r="O62" s="7"/>
    </row>
    <row r="63" customFormat="false" ht="46.25" hidden="false" customHeight="false" outlineLevel="0" collapsed="false">
      <c r="A63" s="7" t="s">
        <v>261</v>
      </c>
      <c r="B63" s="8" t="str">
        <f aca="true">IF(ISNUMBER(A63),A63-TODAY(),"")</f>
        <v/>
      </c>
      <c r="C63" s="8" t="s">
        <v>351</v>
      </c>
      <c r="D63" s="9" t="s">
        <v>352</v>
      </c>
      <c r="E63" s="8" t="s">
        <v>53</v>
      </c>
      <c r="F63" s="8" t="s">
        <v>28</v>
      </c>
      <c r="G63" s="8" t="s">
        <v>353</v>
      </c>
      <c r="H63" s="8" t="s">
        <v>63</v>
      </c>
      <c r="I63" s="8" t="s">
        <v>354</v>
      </c>
      <c r="J63" s="10" t="n">
        <v>4</v>
      </c>
      <c r="K63" s="8" t="s">
        <v>65</v>
      </c>
      <c r="L63" s="11" t="s">
        <v>355</v>
      </c>
      <c r="M63" s="11" t="s">
        <v>356</v>
      </c>
      <c r="N63" s="10" t="s">
        <v>13</v>
      </c>
      <c r="O63" s="7"/>
    </row>
    <row r="64" customFormat="false" ht="35.05" hidden="false" customHeight="false" outlineLevel="0" collapsed="false">
      <c r="A64" s="7" t="s">
        <v>261</v>
      </c>
      <c r="B64" s="8" t="str">
        <f aca="true">IF(ISNUMBER(A64),A64-TODAY(),"")</f>
        <v/>
      </c>
      <c r="C64" s="8" t="s">
        <v>148</v>
      </c>
      <c r="D64" s="9" t="s">
        <v>357</v>
      </c>
      <c r="E64" s="8" t="s">
        <v>74</v>
      </c>
      <c r="F64" s="8" t="s">
        <v>20</v>
      </c>
      <c r="G64" s="8" t="s">
        <v>358</v>
      </c>
      <c r="H64" s="8" t="s">
        <v>55</v>
      </c>
      <c r="I64" s="8" t="s">
        <v>56</v>
      </c>
      <c r="J64" s="10" t="n">
        <v>4</v>
      </c>
      <c r="K64" s="8" t="s">
        <v>87</v>
      </c>
      <c r="L64" s="11" t="s">
        <v>359</v>
      </c>
      <c r="M64" s="11" t="s">
        <v>360</v>
      </c>
      <c r="N64" s="10" t="s">
        <v>13</v>
      </c>
      <c r="O64" s="7"/>
    </row>
    <row r="65" customFormat="false" ht="35.05" hidden="false" customHeight="false" outlineLevel="0" collapsed="false">
      <c r="A65" s="7" t="s">
        <v>261</v>
      </c>
      <c r="B65" s="8" t="str">
        <f aca="true">IF(ISNUMBER(A65),A65-TODAY(),"")</f>
        <v/>
      </c>
      <c r="C65" s="8" t="s">
        <v>84</v>
      </c>
      <c r="D65" s="9" t="s">
        <v>361</v>
      </c>
      <c r="E65" s="8" t="s">
        <v>74</v>
      </c>
      <c r="F65" s="8" t="s">
        <v>23</v>
      </c>
      <c r="G65" s="8" t="s">
        <v>362</v>
      </c>
      <c r="H65" s="8" t="s">
        <v>55</v>
      </c>
      <c r="I65" s="8" t="s">
        <v>56</v>
      </c>
      <c r="J65" s="10" t="n">
        <v>4</v>
      </c>
      <c r="K65" s="8" t="s">
        <v>57</v>
      </c>
      <c r="L65" s="11" t="s">
        <v>363</v>
      </c>
      <c r="M65" s="11" t="s">
        <v>364</v>
      </c>
      <c r="N65" s="10" t="s">
        <v>13</v>
      </c>
      <c r="O65" s="7"/>
    </row>
    <row r="66" customFormat="false" ht="35.05" hidden="false" customHeight="false" outlineLevel="0" collapsed="false">
      <c r="A66" s="7" t="s">
        <v>261</v>
      </c>
      <c r="B66" s="8" t="str">
        <f aca="true">IF(ISNUMBER(A66),A66-TODAY(),"")</f>
        <v/>
      </c>
      <c r="C66" s="8" t="s">
        <v>365</v>
      </c>
      <c r="D66" s="9" t="s">
        <v>366</v>
      </c>
      <c r="E66" s="8" t="s">
        <v>74</v>
      </c>
      <c r="F66" s="8" t="s">
        <v>23</v>
      </c>
      <c r="G66" s="8" t="s">
        <v>54</v>
      </c>
      <c r="H66" s="8" t="s">
        <v>55</v>
      </c>
      <c r="I66" s="8" t="s">
        <v>56</v>
      </c>
      <c r="J66" s="10" t="n">
        <v>4</v>
      </c>
      <c r="K66" s="8" t="s">
        <v>57</v>
      </c>
      <c r="L66" s="11" t="s">
        <v>367</v>
      </c>
      <c r="M66" s="11" t="s">
        <v>368</v>
      </c>
      <c r="N66" s="10" t="s">
        <v>13</v>
      </c>
      <c r="O66" s="7"/>
    </row>
    <row r="67" customFormat="false" ht="35.05" hidden="false" customHeight="false" outlineLevel="0" collapsed="false">
      <c r="A67" s="7" t="s">
        <v>261</v>
      </c>
      <c r="B67" s="8" t="str">
        <f aca="true">IF(ISNUMBER(A67),A67-TODAY(),"")</f>
        <v/>
      </c>
      <c r="C67" s="8" t="s">
        <v>369</v>
      </c>
      <c r="D67" s="9" t="s">
        <v>370</v>
      </c>
      <c r="E67" s="8" t="s">
        <v>74</v>
      </c>
      <c r="F67" s="8" t="s">
        <v>23</v>
      </c>
      <c r="G67" s="8" t="s">
        <v>371</v>
      </c>
      <c r="H67" s="8" t="s">
        <v>63</v>
      </c>
      <c r="I67" s="8" t="s">
        <v>372</v>
      </c>
      <c r="J67" s="10" t="n">
        <v>4</v>
      </c>
      <c r="K67" s="8" t="s">
        <v>57</v>
      </c>
      <c r="L67" s="11" t="s">
        <v>373</v>
      </c>
      <c r="M67" s="11" t="s">
        <v>374</v>
      </c>
      <c r="N67" s="10" t="s">
        <v>13</v>
      </c>
      <c r="O67" s="7"/>
    </row>
    <row r="68" customFormat="false" ht="46.25" hidden="false" customHeight="false" outlineLevel="0" collapsed="false">
      <c r="A68" s="7" t="s">
        <v>261</v>
      </c>
      <c r="B68" s="8" t="str">
        <f aca="true">IF(ISNUMBER(A68),A68-TODAY(),"")</f>
        <v/>
      </c>
      <c r="C68" s="8" t="s">
        <v>375</v>
      </c>
      <c r="D68" s="9" t="s">
        <v>376</v>
      </c>
      <c r="E68" s="8" t="s">
        <v>74</v>
      </c>
      <c r="F68" s="8" t="s">
        <v>34</v>
      </c>
      <c r="G68" s="8" t="s">
        <v>280</v>
      </c>
      <c r="H68" s="8" t="s">
        <v>93</v>
      </c>
      <c r="I68" s="8" t="s">
        <v>377</v>
      </c>
      <c r="J68" s="10" t="n">
        <v>4</v>
      </c>
      <c r="K68" s="8" t="s">
        <v>95</v>
      </c>
      <c r="L68" s="11" t="s">
        <v>378</v>
      </c>
      <c r="M68" s="11" t="s">
        <v>379</v>
      </c>
      <c r="N68" s="10" t="s">
        <v>13</v>
      </c>
      <c r="O68" s="7"/>
    </row>
    <row r="69" customFormat="false" ht="57.45" hidden="false" customHeight="false" outlineLevel="0" collapsed="false">
      <c r="A69" s="7" t="s">
        <v>261</v>
      </c>
      <c r="B69" s="8" t="str">
        <f aca="true">IF(ISNUMBER(A69),A69-TODAY(),"")</f>
        <v/>
      </c>
      <c r="C69" s="8" t="s">
        <v>125</v>
      </c>
      <c r="D69" s="9" t="s">
        <v>380</v>
      </c>
      <c r="E69" s="8" t="s">
        <v>74</v>
      </c>
      <c r="F69" s="8" t="s">
        <v>34</v>
      </c>
      <c r="G69" s="8" t="s">
        <v>381</v>
      </c>
      <c r="H69" s="8" t="s">
        <v>55</v>
      </c>
      <c r="I69" s="8" t="s">
        <v>382</v>
      </c>
      <c r="J69" s="10" t="n">
        <v>4</v>
      </c>
      <c r="K69" s="8" t="s">
        <v>95</v>
      </c>
      <c r="L69" s="11" t="s">
        <v>383</v>
      </c>
      <c r="M69" s="11" t="s">
        <v>384</v>
      </c>
      <c r="N69" s="10" t="s">
        <v>13</v>
      </c>
      <c r="O69" s="7"/>
    </row>
    <row r="70" customFormat="false" ht="57.45" hidden="false" customHeight="false" outlineLevel="0" collapsed="false">
      <c r="A70" s="7" t="s">
        <v>261</v>
      </c>
      <c r="B70" s="8" t="str">
        <f aca="true">IF(ISNUMBER(A70),A70-TODAY(),"")</f>
        <v/>
      </c>
      <c r="C70" s="8" t="s">
        <v>385</v>
      </c>
      <c r="D70" s="9" t="s">
        <v>386</v>
      </c>
      <c r="E70" s="8" t="s">
        <v>53</v>
      </c>
      <c r="F70" s="8" t="s">
        <v>11</v>
      </c>
      <c r="G70" s="8" t="s">
        <v>387</v>
      </c>
      <c r="H70" s="8" t="s">
        <v>55</v>
      </c>
      <c r="I70" s="8" t="s">
        <v>388</v>
      </c>
      <c r="J70" s="10" t="n">
        <v>4</v>
      </c>
      <c r="K70" s="8" t="s">
        <v>95</v>
      </c>
      <c r="L70" s="11" t="s">
        <v>389</v>
      </c>
      <c r="M70" s="11" t="s">
        <v>390</v>
      </c>
      <c r="N70" s="10" t="s">
        <v>13</v>
      </c>
      <c r="O70" s="7"/>
    </row>
    <row r="71" customFormat="false" ht="46.25" hidden="false" customHeight="false" outlineLevel="0" collapsed="false">
      <c r="A71" s="7" t="s">
        <v>261</v>
      </c>
      <c r="B71" s="8" t="str">
        <f aca="true">IF(ISNUMBER(A71),A71-TODAY(),"")</f>
        <v/>
      </c>
      <c r="C71" s="8" t="s">
        <v>391</v>
      </c>
      <c r="D71" s="9" t="s">
        <v>392</v>
      </c>
      <c r="E71" s="8" t="s">
        <v>53</v>
      </c>
      <c r="F71" s="8" t="s">
        <v>33</v>
      </c>
      <c r="G71" s="8" t="s">
        <v>393</v>
      </c>
      <c r="H71" s="8" t="s">
        <v>55</v>
      </c>
      <c r="I71" s="8" t="s">
        <v>56</v>
      </c>
      <c r="J71" s="10" t="n">
        <v>4</v>
      </c>
      <c r="K71" s="8" t="s">
        <v>65</v>
      </c>
      <c r="L71" s="11" t="s">
        <v>394</v>
      </c>
      <c r="M71" s="11" t="s">
        <v>395</v>
      </c>
      <c r="N71" s="10" t="s">
        <v>13</v>
      </c>
      <c r="O71" s="7"/>
    </row>
    <row r="72" customFormat="false" ht="46.25" hidden="false" customHeight="false" outlineLevel="0" collapsed="false">
      <c r="A72" s="7" t="s">
        <v>261</v>
      </c>
      <c r="B72" s="8" t="str">
        <f aca="true">IF(ISNUMBER(A72),A72-TODAY(),"")</f>
        <v/>
      </c>
      <c r="C72" s="8" t="s">
        <v>396</v>
      </c>
      <c r="D72" s="9" t="s">
        <v>397</v>
      </c>
      <c r="E72" s="8" t="s">
        <v>53</v>
      </c>
      <c r="F72" s="8" t="s">
        <v>35</v>
      </c>
      <c r="G72" s="8" t="s">
        <v>62</v>
      </c>
      <c r="H72" s="8" t="s">
        <v>63</v>
      </c>
      <c r="I72" s="8" t="s">
        <v>398</v>
      </c>
      <c r="J72" s="10" t="n">
        <v>4</v>
      </c>
      <c r="K72" s="8" t="s">
        <v>65</v>
      </c>
      <c r="L72" s="11" t="s">
        <v>399</v>
      </c>
      <c r="M72" s="11" t="s">
        <v>400</v>
      </c>
      <c r="N72" s="10" t="s">
        <v>13</v>
      </c>
      <c r="O72" s="7"/>
    </row>
    <row r="73" customFormat="false" ht="23.85" hidden="false" customHeight="false" outlineLevel="0" collapsed="false">
      <c r="A73" s="7" t="s">
        <v>261</v>
      </c>
      <c r="B73" s="8" t="str">
        <f aca="true">IF(ISNUMBER(A73),A73-TODAY(),"")</f>
        <v/>
      </c>
      <c r="C73" s="8" t="s">
        <v>401</v>
      </c>
      <c r="D73" s="9" t="s">
        <v>402</v>
      </c>
      <c r="E73" s="8" t="s">
        <v>53</v>
      </c>
      <c r="F73" s="8" t="s">
        <v>35</v>
      </c>
      <c r="G73" s="8" t="s">
        <v>403</v>
      </c>
      <c r="H73" s="8" t="s">
        <v>63</v>
      </c>
      <c r="I73" s="8" t="s">
        <v>56</v>
      </c>
      <c r="J73" s="10" t="n">
        <v>4</v>
      </c>
      <c r="K73" s="8" t="s">
        <v>65</v>
      </c>
      <c r="L73" s="11" t="s">
        <v>404</v>
      </c>
      <c r="M73" s="11" t="s">
        <v>405</v>
      </c>
      <c r="N73" s="10" t="s">
        <v>13</v>
      </c>
      <c r="O73" s="7"/>
    </row>
    <row r="74" customFormat="false" ht="57.45" hidden="false" customHeight="false" outlineLevel="0" collapsed="false">
      <c r="A74" s="7" t="s">
        <v>261</v>
      </c>
      <c r="B74" s="8" t="str">
        <f aca="true">IF(ISNUMBER(A74),A74-TODAY(),"")</f>
        <v/>
      </c>
      <c r="C74" s="8" t="s">
        <v>406</v>
      </c>
      <c r="D74" s="9" t="s">
        <v>407</v>
      </c>
      <c r="E74" s="8" t="s">
        <v>74</v>
      </c>
      <c r="F74" s="8" t="s">
        <v>35</v>
      </c>
      <c r="G74" s="8" t="s">
        <v>62</v>
      </c>
      <c r="H74" s="8" t="s">
        <v>63</v>
      </c>
      <c r="I74" s="8" t="s">
        <v>56</v>
      </c>
      <c r="J74" s="10" t="n">
        <v>4</v>
      </c>
      <c r="K74" s="8" t="s">
        <v>65</v>
      </c>
      <c r="L74" s="11" t="s">
        <v>408</v>
      </c>
      <c r="M74" s="11" t="s">
        <v>409</v>
      </c>
      <c r="N74" s="10" t="s">
        <v>13</v>
      </c>
      <c r="O74" s="7"/>
    </row>
    <row r="75" customFormat="false" ht="23.85" hidden="false" customHeight="false" outlineLevel="0" collapsed="false">
      <c r="A75" s="7" t="s">
        <v>261</v>
      </c>
      <c r="B75" s="8" t="str">
        <f aca="true">IF(ISNUMBER(A75),A75-TODAY(),"")</f>
        <v/>
      </c>
      <c r="C75" s="8" t="s">
        <v>406</v>
      </c>
      <c r="D75" s="9" t="s">
        <v>410</v>
      </c>
      <c r="E75" s="8" t="s">
        <v>74</v>
      </c>
      <c r="F75" s="8" t="s">
        <v>35</v>
      </c>
      <c r="G75" s="8" t="s">
        <v>280</v>
      </c>
      <c r="H75" s="8" t="s">
        <v>63</v>
      </c>
      <c r="I75" s="8" t="s">
        <v>56</v>
      </c>
      <c r="J75" s="10" t="n">
        <v>4</v>
      </c>
      <c r="K75" s="8" t="s">
        <v>65</v>
      </c>
      <c r="L75" s="11" t="s">
        <v>411</v>
      </c>
      <c r="M75" s="11" t="s">
        <v>412</v>
      </c>
      <c r="N75" s="10" t="s">
        <v>13</v>
      </c>
      <c r="O75" s="7"/>
    </row>
    <row r="76" customFormat="false" ht="35.05" hidden="false" customHeight="false" outlineLevel="0" collapsed="false">
      <c r="A76" s="7" t="s">
        <v>261</v>
      </c>
      <c r="B76" s="8" t="str">
        <f aca="true">IF(ISNUMBER(A76),A76-TODAY(),"")</f>
        <v/>
      </c>
      <c r="C76" s="8" t="s">
        <v>413</v>
      </c>
      <c r="D76" s="9" t="s">
        <v>414</v>
      </c>
      <c r="E76" s="8" t="s">
        <v>74</v>
      </c>
      <c r="F76" s="8" t="s">
        <v>35</v>
      </c>
      <c r="G76" s="8" t="s">
        <v>415</v>
      </c>
      <c r="H76" s="8" t="s">
        <v>63</v>
      </c>
      <c r="I76" s="8" t="s">
        <v>416</v>
      </c>
      <c r="J76" s="10" t="n">
        <v>4</v>
      </c>
      <c r="K76" s="8" t="s">
        <v>65</v>
      </c>
      <c r="L76" s="11" t="s">
        <v>417</v>
      </c>
      <c r="M76" s="11" t="s">
        <v>418</v>
      </c>
      <c r="N76" s="10" t="s">
        <v>13</v>
      </c>
      <c r="O76" s="7"/>
    </row>
    <row r="77" customFormat="false" ht="46.25" hidden="false" customHeight="false" outlineLevel="0" collapsed="false">
      <c r="A77" s="7" t="s">
        <v>261</v>
      </c>
      <c r="B77" s="8" t="str">
        <f aca="true">IF(ISNUMBER(A77),A77-TODAY(),"")</f>
        <v/>
      </c>
      <c r="C77" s="8" t="s">
        <v>419</v>
      </c>
      <c r="D77" s="9" t="s">
        <v>420</v>
      </c>
      <c r="E77" s="8" t="s">
        <v>53</v>
      </c>
      <c r="F77" s="8" t="s">
        <v>32</v>
      </c>
      <c r="G77" s="8" t="s">
        <v>421</v>
      </c>
      <c r="H77" s="8" t="s">
        <v>63</v>
      </c>
      <c r="I77" s="8" t="s">
        <v>422</v>
      </c>
      <c r="J77" s="10" t="n">
        <v>3</v>
      </c>
      <c r="K77" s="8" t="s">
        <v>87</v>
      </c>
      <c r="L77" s="11" t="s">
        <v>423</v>
      </c>
      <c r="M77" s="11" t="s">
        <v>424</v>
      </c>
      <c r="N77" s="10" t="s">
        <v>13</v>
      </c>
      <c r="O77" s="7"/>
    </row>
    <row r="78" customFormat="false" ht="35.05" hidden="false" customHeight="false" outlineLevel="0" collapsed="false">
      <c r="A78" s="7" t="s">
        <v>261</v>
      </c>
      <c r="B78" s="8" t="str">
        <f aca="true">IF(ISNUMBER(A78),A78-TODAY(),"")</f>
        <v/>
      </c>
      <c r="C78" s="8" t="s">
        <v>425</v>
      </c>
      <c r="D78" s="9" t="s">
        <v>426</v>
      </c>
      <c r="E78" s="8" t="s">
        <v>53</v>
      </c>
      <c r="F78" s="8" t="s">
        <v>32</v>
      </c>
      <c r="G78" s="8" t="s">
        <v>427</v>
      </c>
      <c r="H78" s="8" t="s">
        <v>63</v>
      </c>
      <c r="I78" s="8" t="s">
        <v>428</v>
      </c>
      <c r="J78" s="10" t="n">
        <v>3</v>
      </c>
      <c r="K78" s="8" t="s">
        <v>87</v>
      </c>
      <c r="L78" s="11" t="s">
        <v>429</v>
      </c>
      <c r="M78" s="11" t="s">
        <v>430</v>
      </c>
      <c r="N78" s="10" t="s">
        <v>13</v>
      </c>
      <c r="O78" s="7"/>
    </row>
    <row r="79" customFormat="false" ht="46.25" hidden="false" customHeight="false" outlineLevel="0" collapsed="false">
      <c r="A79" s="7" t="s">
        <v>261</v>
      </c>
      <c r="B79" s="8" t="str">
        <f aca="true">IF(ISNUMBER(A79),A79-TODAY(),"")</f>
        <v/>
      </c>
      <c r="C79" s="8" t="s">
        <v>323</v>
      </c>
      <c r="D79" s="9" t="s">
        <v>431</v>
      </c>
      <c r="E79" s="8" t="s">
        <v>74</v>
      </c>
      <c r="F79" s="8" t="s">
        <v>32</v>
      </c>
      <c r="G79" s="8" t="s">
        <v>62</v>
      </c>
      <c r="H79" s="8" t="s">
        <v>93</v>
      </c>
      <c r="I79" s="8" t="s">
        <v>56</v>
      </c>
      <c r="J79" s="10" t="n">
        <v>3</v>
      </c>
      <c r="K79" s="8" t="s">
        <v>87</v>
      </c>
      <c r="L79" s="11" t="s">
        <v>432</v>
      </c>
      <c r="M79" s="11" t="s">
        <v>433</v>
      </c>
      <c r="N79" s="10" t="s">
        <v>13</v>
      </c>
      <c r="O79" s="7"/>
    </row>
    <row r="80" customFormat="false" ht="35.05" hidden="false" customHeight="false" outlineLevel="0" collapsed="false">
      <c r="A80" s="7" t="s">
        <v>261</v>
      </c>
      <c r="B80" s="8" t="str">
        <f aca="true">IF(ISNUMBER(A80),A80-TODAY(),"")</f>
        <v/>
      </c>
      <c r="C80" s="8" t="s">
        <v>391</v>
      </c>
      <c r="D80" s="9" t="s">
        <v>434</v>
      </c>
      <c r="E80" s="8" t="s">
        <v>74</v>
      </c>
      <c r="F80" s="8" t="s">
        <v>28</v>
      </c>
      <c r="G80" s="8" t="s">
        <v>435</v>
      </c>
      <c r="H80" s="8" t="s">
        <v>63</v>
      </c>
      <c r="I80" s="8" t="s">
        <v>436</v>
      </c>
      <c r="J80" s="10" t="n">
        <v>3</v>
      </c>
      <c r="K80" s="8" t="s">
        <v>65</v>
      </c>
      <c r="L80" s="11" t="s">
        <v>437</v>
      </c>
      <c r="M80" s="11" t="s">
        <v>438</v>
      </c>
      <c r="N80" s="10" t="s">
        <v>13</v>
      </c>
      <c r="O80" s="7"/>
    </row>
    <row r="81" customFormat="false" ht="35.05" hidden="false" customHeight="false" outlineLevel="0" collapsed="false">
      <c r="A81" s="7" t="s">
        <v>261</v>
      </c>
      <c r="B81" s="8" t="str">
        <f aca="true">IF(ISNUMBER(A81),A81-TODAY(),"")</f>
        <v/>
      </c>
      <c r="C81" s="8" t="s">
        <v>439</v>
      </c>
      <c r="D81" s="9" t="s">
        <v>440</v>
      </c>
      <c r="E81" s="8" t="s">
        <v>74</v>
      </c>
      <c r="F81" s="8" t="s">
        <v>31</v>
      </c>
      <c r="G81" s="8" t="s">
        <v>62</v>
      </c>
      <c r="H81" s="8" t="s">
        <v>93</v>
      </c>
      <c r="I81" s="8" t="s">
        <v>441</v>
      </c>
      <c r="J81" s="10" t="n">
        <v>3</v>
      </c>
      <c r="K81" s="8" t="s">
        <v>57</v>
      </c>
      <c r="L81" s="11" t="s">
        <v>442</v>
      </c>
      <c r="M81" s="11" t="s">
        <v>443</v>
      </c>
      <c r="N81" s="10" t="s">
        <v>13</v>
      </c>
      <c r="O81" s="7"/>
    </row>
    <row r="82" customFormat="false" ht="35.05" hidden="false" customHeight="false" outlineLevel="0" collapsed="false">
      <c r="A82" s="7" t="s">
        <v>261</v>
      </c>
      <c r="B82" s="8" t="str">
        <f aca="true">IF(ISNUMBER(A82),A82-TODAY(),"")</f>
        <v/>
      </c>
      <c r="C82" s="8" t="s">
        <v>444</v>
      </c>
      <c r="D82" s="9" t="s">
        <v>445</v>
      </c>
      <c r="E82" s="8" t="s">
        <v>74</v>
      </c>
      <c r="F82" s="8" t="s">
        <v>33</v>
      </c>
      <c r="G82" s="8" t="s">
        <v>280</v>
      </c>
      <c r="H82" s="8" t="s">
        <v>93</v>
      </c>
      <c r="I82" s="8" t="s">
        <v>446</v>
      </c>
      <c r="J82" s="10" t="n">
        <v>3</v>
      </c>
      <c r="K82" s="8" t="s">
        <v>95</v>
      </c>
      <c r="L82" s="11" t="s">
        <v>447</v>
      </c>
      <c r="M82" s="11" t="s">
        <v>448</v>
      </c>
      <c r="N82" s="10" t="s">
        <v>13</v>
      </c>
      <c r="O82" s="7"/>
    </row>
    <row r="83" customFormat="false" ht="35.05" hidden="false" customHeight="false" outlineLevel="0" collapsed="false">
      <c r="A83" s="7" t="s">
        <v>261</v>
      </c>
      <c r="B83" s="8" t="str">
        <f aca="true">IF(ISNUMBER(A83),A83-TODAY(),"")</f>
        <v/>
      </c>
      <c r="C83" s="8" t="s">
        <v>449</v>
      </c>
      <c r="D83" s="9" t="s">
        <v>450</v>
      </c>
      <c r="E83" s="8" t="s">
        <v>74</v>
      </c>
      <c r="F83" s="8" t="s">
        <v>33</v>
      </c>
      <c r="G83" s="8" t="s">
        <v>62</v>
      </c>
      <c r="H83" s="8" t="s">
        <v>63</v>
      </c>
      <c r="I83" s="8" t="s">
        <v>451</v>
      </c>
      <c r="J83" s="10" t="n">
        <v>3</v>
      </c>
      <c r="K83" s="8" t="s">
        <v>65</v>
      </c>
      <c r="L83" s="11" t="s">
        <v>452</v>
      </c>
      <c r="M83" s="11" t="s">
        <v>453</v>
      </c>
      <c r="N83" s="10" t="s">
        <v>13</v>
      </c>
      <c r="O83" s="7"/>
    </row>
    <row r="84" customFormat="false" ht="35.05" hidden="false" customHeight="false" outlineLevel="0" collapsed="false">
      <c r="A84" s="7" t="s">
        <v>261</v>
      </c>
      <c r="B84" s="8" t="str">
        <f aca="true">IF(ISNUMBER(A84),A84-TODAY(),"")</f>
        <v/>
      </c>
      <c r="C84" s="8" t="s">
        <v>454</v>
      </c>
      <c r="D84" s="9" t="s">
        <v>455</v>
      </c>
      <c r="E84" s="8" t="s">
        <v>74</v>
      </c>
      <c r="F84" s="8" t="s">
        <v>33</v>
      </c>
      <c r="G84" s="8" t="s">
        <v>456</v>
      </c>
      <c r="H84" s="8" t="s">
        <v>55</v>
      </c>
      <c r="I84" s="8" t="s">
        <v>56</v>
      </c>
      <c r="J84" s="10" t="n">
        <v>3</v>
      </c>
      <c r="K84" s="8" t="s">
        <v>87</v>
      </c>
      <c r="L84" s="11" t="s">
        <v>457</v>
      </c>
      <c r="M84" s="11" t="s">
        <v>458</v>
      </c>
      <c r="N84" s="10" t="s">
        <v>13</v>
      </c>
      <c r="O84" s="7"/>
    </row>
    <row r="85" customFormat="false" ht="23.85" hidden="false" customHeight="false" outlineLevel="0" collapsed="false">
      <c r="A85" s="7" t="s">
        <v>261</v>
      </c>
      <c r="B85" s="8" t="str">
        <f aca="true">IF(ISNUMBER(A85),A85-TODAY(),"")</f>
        <v/>
      </c>
      <c r="C85" s="8" t="s">
        <v>190</v>
      </c>
      <c r="D85" s="9" t="s">
        <v>459</v>
      </c>
      <c r="E85" s="8" t="s">
        <v>74</v>
      </c>
      <c r="F85" s="8" t="s">
        <v>33</v>
      </c>
      <c r="G85" s="8" t="s">
        <v>62</v>
      </c>
      <c r="H85" s="8" t="s">
        <v>55</v>
      </c>
      <c r="I85" s="8" t="s">
        <v>192</v>
      </c>
      <c r="J85" s="10" t="n">
        <v>3</v>
      </c>
      <c r="K85" s="8" t="s">
        <v>87</v>
      </c>
      <c r="L85" s="11" t="s">
        <v>460</v>
      </c>
      <c r="M85" s="11" t="s">
        <v>461</v>
      </c>
      <c r="N85" s="10" t="s">
        <v>13</v>
      </c>
      <c r="O85" s="7"/>
    </row>
    <row r="86" customFormat="false" ht="35.05" hidden="false" customHeight="false" outlineLevel="0" collapsed="false">
      <c r="A86" s="7" t="s">
        <v>261</v>
      </c>
      <c r="B86" s="8" t="str">
        <f aca="true">IF(ISNUMBER(A86),A86-TODAY(),"")</f>
        <v/>
      </c>
      <c r="C86" s="8" t="s">
        <v>462</v>
      </c>
      <c r="D86" s="9" t="s">
        <v>463</v>
      </c>
      <c r="E86" s="8" t="s">
        <v>74</v>
      </c>
      <c r="F86" s="8" t="s">
        <v>32</v>
      </c>
      <c r="G86" s="8" t="s">
        <v>464</v>
      </c>
      <c r="H86" s="8" t="s">
        <v>63</v>
      </c>
      <c r="I86" s="8" t="s">
        <v>56</v>
      </c>
      <c r="J86" s="10" t="n">
        <v>3</v>
      </c>
      <c r="K86" s="8" t="s">
        <v>87</v>
      </c>
      <c r="L86" s="11" t="s">
        <v>465</v>
      </c>
      <c r="M86" s="11" t="s">
        <v>466</v>
      </c>
      <c r="N86" s="10" t="s">
        <v>13</v>
      </c>
      <c r="O86" s="7"/>
    </row>
    <row r="87" customFormat="false" ht="46.25" hidden="false" customHeight="false" outlineLevel="0" collapsed="false">
      <c r="A87" s="7" t="s">
        <v>261</v>
      </c>
      <c r="B87" s="8" t="str">
        <f aca="true">IF(ISNUMBER(A87),A87-TODAY(),"")</f>
        <v/>
      </c>
      <c r="C87" s="8" t="s">
        <v>467</v>
      </c>
      <c r="D87" s="9" t="s">
        <v>468</v>
      </c>
      <c r="E87" s="8" t="s">
        <v>53</v>
      </c>
      <c r="F87" s="8" t="s">
        <v>33</v>
      </c>
      <c r="G87" s="8" t="s">
        <v>469</v>
      </c>
      <c r="H87" s="8" t="s">
        <v>63</v>
      </c>
      <c r="I87" s="8" t="s">
        <v>56</v>
      </c>
      <c r="J87" s="10" t="n">
        <v>3</v>
      </c>
      <c r="K87" s="8" t="s">
        <v>65</v>
      </c>
      <c r="L87" s="11" t="s">
        <v>470</v>
      </c>
      <c r="M87" s="11" t="s">
        <v>471</v>
      </c>
      <c r="N87" s="10" t="s">
        <v>13</v>
      </c>
      <c r="O87" s="7"/>
    </row>
    <row r="88" customFormat="false" ht="35.05" hidden="false" customHeight="false" outlineLevel="0" collapsed="false">
      <c r="A88" s="7" t="s">
        <v>261</v>
      </c>
      <c r="B88" s="8" t="str">
        <f aca="true">IF(ISNUMBER(A88),A88-TODAY(),"")</f>
        <v/>
      </c>
      <c r="C88" s="8" t="s">
        <v>472</v>
      </c>
      <c r="D88" s="9" t="s">
        <v>473</v>
      </c>
      <c r="E88" s="8" t="s">
        <v>74</v>
      </c>
      <c r="F88" s="8" t="s">
        <v>33</v>
      </c>
      <c r="G88" s="8" t="s">
        <v>62</v>
      </c>
      <c r="H88" s="8" t="s">
        <v>55</v>
      </c>
      <c r="I88" s="8" t="s">
        <v>56</v>
      </c>
      <c r="J88" s="10" t="n">
        <v>3</v>
      </c>
      <c r="K88" s="8" t="s">
        <v>87</v>
      </c>
      <c r="L88" s="11" t="s">
        <v>474</v>
      </c>
      <c r="M88" s="11" t="s">
        <v>475</v>
      </c>
      <c r="N88" s="10" t="s">
        <v>13</v>
      </c>
      <c r="O88" s="7"/>
    </row>
    <row r="89" customFormat="false" ht="23.85" hidden="false" customHeight="false" outlineLevel="0" collapsed="false">
      <c r="A89" s="7" t="s">
        <v>261</v>
      </c>
      <c r="B89" s="8" t="str">
        <f aca="true">IF(ISNUMBER(A89),A89-TODAY(),"")</f>
        <v/>
      </c>
      <c r="C89" s="8" t="s">
        <v>110</v>
      </c>
      <c r="D89" s="9" t="s">
        <v>476</v>
      </c>
      <c r="E89" s="8" t="s">
        <v>74</v>
      </c>
      <c r="F89" s="8" t="s">
        <v>26</v>
      </c>
      <c r="G89" s="8" t="s">
        <v>338</v>
      </c>
      <c r="H89" s="8" t="s">
        <v>55</v>
      </c>
      <c r="I89" s="8" t="s">
        <v>56</v>
      </c>
      <c r="J89" s="10" t="n">
        <v>3</v>
      </c>
      <c r="K89" s="8" t="s">
        <v>87</v>
      </c>
      <c r="L89" s="11" t="s">
        <v>477</v>
      </c>
      <c r="M89" s="11" t="s">
        <v>478</v>
      </c>
      <c r="N89" s="10" t="s">
        <v>13</v>
      </c>
      <c r="O89" s="7"/>
    </row>
    <row r="90" customFormat="false" ht="23.85" hidden="false" customHeight="false" outlineLevel="0" collapsed="false">
      <c r="A90" s="7" t="s">
        <v>261</v>
      </c>
      <c r="B90" s="8" t="str">
        <f aca="true">IF(ISNUMBER(A90),A90-TODAY(),"")</f>
        <v/>
      </c>
      <c r="C90" s="8" t="s">
        <v>110</v>
      </c>
      <c r="D90" s="9" t="s">
        <v>479</v>
      </c>
      <c r="E90" s="8" t="s">
        <v>74</v>
      </c>
      <c r="F90" s="8" t="s">
        <v>26</v>
      </c>
      <c r="G90" s="8" t="s">
        <v>86</v>
      </c>
      <c r="H90" s="8" t="s">
        <v>55</v>
      </c>
      <c r="I90" s="8" t="s">
        <v>480</v>
      </c>
      <c r="J90" s="10" t="n">
        <v>3</v>
      </c>
      <c r="K90" s="8" t="s">
        <v>87</v>
      </c>
      <c r="L90" s="11" t="s">
        <v>481</v>
      </c>
      <c r="M90" s="11" t="s">
        <v>482</v>
      </c>
      <c r="N90" s="10" t="s">
        <v>13</v>
      </c>
      <c r="O90" s="7"/>
    </row>
    <row r="91" customFormat="false" ht="35.05" hidden="false" customHeight="false" outlineLevel="0" collapsed="false">
      <c r="A91" s="7" t="s">
        <v>261</v>
      </c>
      <c r="B91" s="8" t="str">
        <f aca="true">IF(ISNUMBER(A91),A91-TODAY(),"")</f>
        <v/>
      </c>
      <c r="C91" s="8" t="s">
        <v>110</v>
      </c>
      <c r="D91" s="9" t="s">
        <v>483</v>
      </c>
      <c r="E91" s="8" t="s">
        <v>74</v>
      </c>
      <c r="F91" s="8" t="s">
        <v>26</v>
      </c>
      <c r="G91" s="8" t="s">
        <v>86</v>
      </c>
      <c r="H91" s="8" t="s">
        <v>55</v>
      </c>
      <c r="I91" s="8" t="s">
        <v>113</v>
      </c>
      <c r="J91" s="10" t="n">
        <v>3</v>
      </c>
      <c r="K91" s="8" t="s">
        <v>87</v>
      </c>
      <c r="L91" s="11" t="s">
        <v>484</v>
      </c>
      <c r="M91" s="11" t="s">
        <v>485</v>
      </c>
      <c r="N91" s="10" t="s">
        <v>13</v>
      </c>
      <c r="O91" s="7"/>
    </row>
    <row r="92" customFormat="false" ht="35.05" hidden="false" customHeight="false" outlineLevel="0" collapsed="false">
      <c r="A92" s="7" t="s">
        <v>261</v>
      </c>
      <c r="B92" s="8" t="str">
        <f aca="true">IF(ISNUMBER(A92),A92-TODAY(),"")</f>
        <v/>
      </c>
      <c r="C92" s="8" t="s">
        <v>170</v>
      </c>
      <c r="D92" s="9" t="s">
        <v>486</v>
      </c>
      <c r="E92" s="8" t="s">
        <v>53</v>
      </c>
      <c r="F92" s="8" t="s">
        <v>26</v>
      </c>
      <c r="G92" s="8" t="s">
        <v>62</v>
      </c>
      <c r="H92" s="8" t="s">
        <v>55</v>
      </c>
      <c r="I92" s="8" t="s">
        <v>172</v>
      </c>
      <c r="J92" s="10" t="n">
        <v>3</v>
      </c>
      <c r="K92" s="8" t="s">
        <v>87</v>
      </c>
      <c r="L92" s="11" t="s">
        <v>487</v>
      </c>
      <c r="M92" s="11" t="s">
        <v>488</v>
      </c>
      <c r="N92" s="10" t="s">
        <v>13</v>
      </c>
      <c r="O92" s="7"/>
    </row>
    <row r="93" customFormat="false" ht="35.05" hidden="false" customHeight="false" outlineLevel="0" collapsed="false">
      <c r="A93" s="7" t="s">
        <v>261</v>
      </c>
      <c r="B93" s="8" t="str">
        <f aca="true">IF(ISNUMBER(A93),A93-TODAY(),"")</f>
        <v/>
      </c>
      <c r="C93" s="8" t="s">
        <v>489</v>
      </c>
      <c r="D93" s="9" t="s">
        <v>490</v>
      </c>
      <c r="E93" s="8" t="s">
        <v>53</v>
      </c>
      <c r="F93" s="8" t="s">
        <v>27</v>
      </c>
      <c r="G93" s="8" t="s">
        <v>62</v>
      </c>
      <c r="H93" s="8" t="s">
        <v>55</v>
      </c>
      <c r="I93" s="8" t="s">
        <v>491</v>
      </c>
      <c r="J93" s="10" t="n">
        <v>3</v>
      </c>
      <c r="K93" s="8" t="s">
        <v>57</v>
      </c>
      <c r="L93" s="11" t="s">
        <v>492</v>
      </c>
      <c r="M93" s="11" t="s">
        <v>493</v>
      </c>
      <c r="N93" s="10" t="s">
        <v>13</v>
      </c>
      <c r="O93" s="7"/>
    </row>
    <row r="94" customFormat="false" ht="35.05" hidden="false" customHeight="false" outlineLevel="0" collapsed="false">
      <c r="A94" s="7" t="s">
        <v>261</v>
      </c>
      <c r="B94" s="8" t="str">
        <f aca="true">IF(ISNUMBER(A94),A94-TODAY(),"")</f>
        <v/>
      </c>
      <c r="C94" s="8" t="s">
        <v>489</v>
      </c>
      <c r="D94" s="9" t="s">
        <v>494</v>
      </c>
      <c r="E94" s="8" t="s">
        <v>53</v>
      </c>
      <c r="F94" s="8" t="s">
        <v>20</v>
      </c>
      <c r="G94" s="8" t="s">
        <v>55</v>
      </c>
      <c r="H94" s="8" t="s">
        <v>55</v>
      </c>
      <c r="I94" s="8" t="s">
        <v>56</v>
      </c>
      <c r="J94" s="10" t="n">
        <v>3</v>
      </c>
      <c r="K94" s="8" t="s">
        <v>57</v>
      </c>
      <c r="L94" s="11" t="s">
        <v>495</v>
      </c>
      <c r="M94" s="11" t="s">
        <v>496</v>
      </c>
      <c r="N94" s="10" t="s">
        <v>13</v>
      </c>
      <c r="O94" s="7"/>
    </row>
    <row r="95" customFormat="false" ht="23.85" hidden="false" customHeight="false" outlineLevel="0" collapsed="false">
      <c r="A95" s="7" t="s">
        <v>261</v>
      </c>
      <c r="B95" s="8" t="str">
        <f aca="true">IF(ISNUMBER(A95),A95-TODAY(),"")</f>
        <v/>
      </c>
      <c r="C95" s="8" t="s">
        <v>489</v>
      </c>
      <c r="D95" s="9" t="s">
        <v>497</v>
      </c>
      <c r="E95" s="8" t="s">
        <v>53</v>
      </c>
      <c r="F95" s="8" t="s">
        <v>27</v>
      </c>
      <c r="G95" s="8" t="s">
        <v>54</v>
      </c>
      <c r="H95" s="8" t="s">
        <v>93</v>
      </c>
      <c r="I95" s="8" t="s">
        <v>498</v>
      </c>
      <c r="J95" s="10" t="n">
        <v>3</v>
      </c>
      <c r="K95" s="8" t="s">
        <v>57</v>
      </c>
      <c r="L95" s="11" t="s">
        <v>499</v>
      </c>
      <c r="M95" s="11" t="s">
        <v>500</v>
      </c>
      <c r="N95" s="10" t="s">
        <v>13</v>
      </c>
      <c r="O95" s="7"/>
    </row>
    <row r="96" customFormat="false" ht="23.85" hidden="false" customHeight="false" outlineLevel="0" collapsed="false">
      <c r="A96" s="7" t="s">
        <v>261</v>
      </c>
      <c r="B96" s="8" t="str">
        <f aca="true">IF(ISNUMBER(A96),A96-TODAY(),"")</f>
        <v/>
      </c>
      <c r="C96" s="8" t="s">
        <v>489</v>
      </c>
      <c r="D96" s="9" t="s">
        <v>501</v>
      </c>
      <c r="E96" s="8" t="s">
        <v>53</v>
      </c>
      <c r="F96" s="8" t="s">
        <v>27</v>
      </c>
      <c r="G96" s="8" t="s">
        <v>75</v>
      </c>
      <c r="H96" s="8" t="s">
        <v>93</v>
      </c>
      <c r="I96" s="8" t="s">
        <v>56</v>
      </c>
      <c r="J96" s="10" t="n">
        <v>3</v>
      </c>
      <c r="K96" s="8" t="s">
        <v>57</v>
      </c>
      <c r="L96" s="11" t="s">
        <v>502</v>
      </c>
      <c r="M96" s="11" t="s">
        <v>503</v>
      </c>
      <c r="N96" s="10" t="s">
        <v>13</v>
      </c>
      <c r="O96" s="7"/>
    </row>
    <row r="97" customFormat="false" ht="35.05" hidden="false" customHeight="false" outlineLevel="0" collapsed="false">
      <c r="A97" s="7" t="s">
        <v>261</v>
      </c>
      <c r="B97" s="8" t="str">
        <f aca="true">IF(ISNUMBER(A97),A97-TODAY(),"")</f>
        <v/>
      </c>
      <c r="C97" s="8" t="s">
        <v>504</v>
      </c>
      <c r="D97" s="9" t="s">
        <v>505</v>
      </c>
      <c r="E97" s="8" t="s">
        <v>74</v>
      </c>
      <c r="F97" s="8" t="s">
        <v>33</v>
      </c>
      <c r="G97" s="8" t="s">
        <v>62</v>
      </c>
      <c r="H97" s="8" t="s">
        <v>55</v>
      </c>
      <c r="I97" s="8" t="s">
        <v>56</v>
      </c>
      <c r="J97" s="10" t="n">
        <v>3</v>
      </c>
      <c r="K97" s="8" t="s">
        <v>65</v>
      </c>
      <c r="L97" s="11" t="s">
        <v>506</v>
      </c>
      <c r="M97" s="11" t="s">
        <v>507</v>
      </c>
      <c r="N97" s="10" t="s">
        <v>13</v>
      </c>
      <c r="O97" s="7"/>
    </row>
    <row r="98" customFormat="false" ht="23.85" hidden="false" customHeight="false" outlineLevel="0" collapsed="false">
      <c r="A98" s="7" t="s">
        <v>261</v>
      </c>
      <c r="B98" s="8" t="str">
        <f aca="true">IF(ISNUMBER(A98),A98-TODAY(),"")</f>
        <v/>
      </c>
      <c r="C98" s="8" t="s">
        <v>116</v>
      </c>
      <c r="D98" s="9" t="s">
        <v>508</v>
      </c>
      <c r="E98" s="8" t="s">
        <v>53</v>
      </c>
      <c r="F98" s="8" t="s">
        <v>26</v>
      </c>
      <c r="G98" s="8" t="s">
        <v>62</v>
      </c>
      <c r="H98" s="8" t="s">
        <v>63</v>
      </c>
      <c r="I98" s="8" t="s">
        <v>509</v>
      </c>
      <c r="J98" s="10" t="n">
        <v>3</v>
      </c>
      <c r="K98" s="8" t="s">
        <v>87</v>
      </c>
      <c r="L98" s="11" t="s">
        <v>510</v>
      </c>
      <c r="M98" s="11" t="s">
        <v>511</v>
      </c>
      <c r="N98" s="10" t="s">
        <v>13</v>
      </c>
      <c r="O98" s="7"/>
    </row>
    <row r="99" customFormat="false" ht="35.05" hidden="false" customHeight="false" outlineLevel="0" collapsed="false">
      <c r="A99" s="7" t="s">
        <v>261</v>
      </c>
      <c r="B99" s="8" t="str">
        <f aca="true">IF(ISNUMBER(A99),A99-TODAY(),"")</f>
        <v/>
      </c>
      <c r="C99" s="8" t="s">
        <v>116</v>
      </c>
      <c r="D99" s="9" t="s">
        <v>512</v>
      </c>
      <c r="E99" s="8" t="s">
        <v>53</v>
      </c>
      <c r="F99" s="8" t="s">
        <v>26</v>
      </c>
      <c r="G99" s="8" t="s">
        <v>62</v>
      </c>
      <c r="H99" s="8" t="s">
        <v>55</v>
      </c>
      <c r="I99" s="8" t="s">
        <v>56</v>
      </c>
      <c r="J99" s="10" t="n">
        <v>3</v>
      </c>
      <c r="K99" s="8" t="s">
        <v>87</v>
      </c>
      <c r="L99" s="11" t="s">
        <v>513</v>
      </c>
      <c r="M99" s="11" t="s">
        <v>514</v>
      </c>
      <c r="N99" s="10" t="s">
        <v>13</v>
      </c>
      <c r="O99" s="7"/>
    </row>
    <row r="100" customFormat="false" ht="23.85" hidden="false" customHeight="false" outlineLevel="0" collapsed="false">
      <c r="A100" s="7" t="s">
        <v>261</v>
      </c>
      <c r="B100" s="8" t="str">
        <f aca="true">IF(ISNUMBER(A100),A100-TODAY(),"")</f>
        <v/>
      </c>
      <c r="C100" s="8" t="s">
        <v>201</v>
      </c>
      <c r="D100" s="9" t="s">
        <v>515</v>
      </c>
      <c r="E100" s="8" t="s">
        <v>53</v>
      </c>
      <c r="F100" s="8" t="s">
        <v>26</v>
      </c>
      <c r="G100" s="8" t="s">
        <v>62</v>
      </c>
      <c r="H100" s="8" t="s">
        <v>63</v>
      </c>
      <c r="I100" s="8" t="s">
        <v>56</v>
      </c>
      <c r="J100" s="10" t="n">
        <v>3</v>
      </c>
      <c r="K100" s="8" t="s">
        <v>87</v>
      </c>
      <c r="L100" s="11" t="s">
        <v>516</v>
      </c>
      <c r="M100" s="11" t="s">
        <v>517</v>
      </c>
      <c r="N100" s="10" t="s">
        <v>13</v>
      </c>
      <c r="O100" s="7"/>
    </row>
    <row r="101" customFormat="false" ht="46.25" hidden="false" customHeight="false" outlineLevel="0" collapsed="false">
      <c r="A101" s="7" t="s">
        <v>261</v>
      </c>
      <c r="B101" s="8" t="str">
        <f aca="true">IF(ISNUMBER(A101),A101-TODAY(),"")</f>
        <v/>
      </c>
      <c r="C101" s="8" t="s">
        <v>518</v>
      </c>
      <c r="D101" s="9" t="s">
        <v>519</v>
      </c>
      <c r="E101" s="8" t="s">
        <v>53</v>
      </c>
      <c r="F101" s="8" t="s">
        <v>26</v>
      </c>
      <c r="G101" s="8" t="s">
        <v>62</v>
      </c>
      <c r="H101" s="8" t="s">
        <v>63</v>
      </c>
      <c r="I101" s="8" t="s">
        <v>56</v>
      </c>
      <c r="J101" s="10" t="n">
        <v>3</v>
      </c>
      <c r="K101" s="8" t="s">
        <v>87</v>
      </c>
      <c r="L101" s="11" t="s">
        <v>520</v>
      </c>
      <c r="M101" s="11" t="s">
        <v>521</v>
      </c>
      <c r="N101" s="10" t="s">
        <v>13</v>
      </c>
      <c r="O101" s="7"/>
    </row>
    <row r="102" customFormat="false" ht="35.05" hidden="false" customHeight="false" outlineLevel="0" collapsed="false">
      <c r="A102" s="7" t="s">
        <v>261</v>
      </c>
      <c r="B102" s="8" t="str">
        <f aca="true">IF(ISNUMBER(A102),A102-TODAY(),"")</f>
        <v/>
      </c>
      <c r="C102" s="8" t="s">
        <v>522</v>
      </c>
      <c r="D102" s="9" t="s">
        <v>523</v>
      </c>
      <c r="E102" s="8" t="s">
        <v>53</v>
      </c>
      <c r="F102" s="8" t="s">
        <v>26</v>
      </c>
      <c r="G102" s="8" t="s">
        <v>54</v>
      </c>
      <c r="H102" s="8" t="s">
        <v>63</v>
      </c>
      <c r="I102" s="8" t="s">
        <v>524</v>
      </c>
      <c r="J102" s="10" t="n">
        <v>3</v>
      </c>
      <c r="K102" s="8" t="s">
        <v>87</v>
      </c>
      <c r="L102" s="11" t="s">
        <v>525</v>
      </c>
      <c r="M102" s="11" t="s">
        <v>526</v>
      </c>
      <c r="N102" s="10" t="s">
        <v>13</v>
      </c>
      <c r="O102" s="7"/>
    </row>
    <row r="103" customFormat="false" ht="23.85" hidden="false" customHeight="false" outlineLevel="0" collapsed="false">
      <c r="A103" s="7" t="s">
        <v>261</v>
      </c>
      <c r="B103" s="8" t="str">
        <f aca="true">IF(ISNUMBER(A103),A103-TODAY(),"")</f>
        <v/>
      </c>
      <c r="C103" s="8" t="s">
        <v>527</v>
      </c>
      <c r="D103" s="9" t="s">
        <v>528</v>
      </c>
      <c r="E103" s="8" t="s">
        <v>53</v>
      </c>
      <c r="F103" s="8" t="s">
        <v>26</v>
      </c>
      <c r="G103" s="8" t="s">
        <v>529</v>
      </c>
      <c r="H103" s="8" t="s">
        <v>63</v>
      </c>
      <c r="I103" s="8" t="s">
        <v>530</v>
      </c>
      <c r="J103" s="10" t="n">
        <v>3</v>
      </c>
      <c r="K103" s="8" t="s">
        <v>87</v>
      </c>
      <c r="L103" s="11" t="s">
        <v>531</v>
      </c>
      <c r="M103" s="11" t="s">
        <v>532</v>
      </c>
      <c r="N103" s="10" t="s">
        <v>13</v>
      </c>
      <c r="O103" s="7"/>
    </row>
    <row r="104" customFormat="false" ht="35.05" hidden="false" customHeight="false" outlineLevel="0" collapsed="false">
      <c r="A104" s="7" t="s">
        <v>261</v>
      </c>
      <c r="B104" s="8" t="str">
        <f aca="true">IF(ISNUMBER(A104),A104-TODAY(),"")</f>
        <v/>
      </c>
      <c r="C104" s="8" t="s">
        <v>533</v>
      </c>
      <c r="D104" s="9" t="s">
        <v>534</v>
      </c>
      <c r="E104" s="8" t="s">
        <v>53</v>
      </c>
      <c r="F104" s="8" t="s">
        <v>26</v>
      </c>
      <c r="G104" s="8" t="s">
        <v>280</v>
      </c>
      <c r="H104" s="8" t="s">
        <v>63</v>
      </c>
      <c r="I104" s="8" t="s">
        <v>535</v>
      </c>
      <c r="J104" s="10" t="n">
        <v>3</v>
      </c>
      <c r="K104" s="8" t="s">
        <v>87</v>
      </c>
      <c r="L104" s="11" t="s">
        <v>536</v>
      </c>
      <c r="M104" s="11" t="s">
        <v>537</v>
      </c>
      <c r="N104" s="10" t="s">
        <v>13</v>
      </c>
      <c r="O104" s="7"/>
    </row>
    <row r="105" customFormat="false" ht="23.85" hidden="false" customHeight="false" outlineLevel="0" collapsed="false">
      <c r="A105" s="7" t="s">
        <v>261</v>
      </c>
      <c r="B105" s="8" t="str">
        <f aca="true">IF(ISNUMBER(A105),A105-TODAY(),"")</f>
        <v/>
      </c>
      <c r="C105" s="8" t="s">
        <v>274</v>
      </c>
      <c r="D105" s="9" t="s">
        <v>538</v>
      </c>
      <c r="E105" s="8" t="s">
        <v>74</v>
      </c>
      <c r="F105" s="8" t="s">
        <v>27</v>
      </c>
      <c r="G105" s="8" t="s">
        <v>62</v>
      </c>
      <c r="H105" s="8" t="s">
        <v>93</v>
      </c>
      <c r="I105" s="8" t="s">
        <v>56</v>
      </c>
      <c r="J105" s="10" t="n">
        <v>3</v>
      </c>
      <c r="K105" s="8" t="s">
        <v>57</v>
      </c>
      <c r="L105" s="11" t="s">
        <v>539</v>
      </c>
      <c r="M105" s="11" t="s">
        <v>540</v>
      </c>
      <c r="N105" s="10" t="s">
        <v>13</v>
      </c>
      <c r="O105" s="7"/>
    </row>
    <row r="106" customFormat="false" ht="57.45" hidden="false" customHeight="false" outlineLevel="0" collapsed="false">
      <c r="A106" s="7" t="s">
        <v>261</v>
      </c>
      <c r="B106" s="8" t="str">
        <f aca="true">IF(ISNUMBER(A106),A106-TODAY(),"")</f>
        <v/>
      </c>
      <c r="C106" s="8" t="s">
        <v>186</v>
      </c>
      <c r="D106" s="9" t="s">
        <v>541</v>
      </c>
      <c r="E106" s="8" t="s">
        <v>74</v>
      </c>
      <c r="F106" s="8" t="s">
        <v>27</v>
      </c>
      <c r="G106" s="8" t="s">
        <v>542</v>
      </c>
      <c r="H106" s="8" t="s">
        <v>55</v>
      </c>
      <c r="I106" s="8" t="s">
        <v>56</v>
      </c>
      <c r="J106" s="10" t="n">
        <v>3</v>
      </c>
      <c r="K106" s="8" t="s">
        <v>57</v>
      </c>
      <c r="L106" s="11" t="s">
        <v>543</v>
      </c>
      <c r="M106" s="11" t="s">
        <v>544</v>
      </c>
      <c r="N106" s="10" t="s">
        <v>13</v>
      </c>
      <c r="O106" s="7"/>
    </row>
    <row r="107" customFormat="false" ht="35.05" hidden="false" customHeight="false" outlineLevel="0" collapsed="false">
      <c r="A107" s="7" t="s">
        <v>261</v>
      </c>
      <c r="B107" s="8" t="str">
        <f aca="true">IF(ISNUMBER(A107),A107-TODAY(),"")</f>
        <v/>
      </c>
      <c r="C107" s="8" t="s">
        <v>545</v>
      </c>
      <c r="D107" s="9" t="s">
        <v>546</v>
      </c>
      <c r="E107" s="8" t="s">
        <v>74</v>
      </c>
      <c r="F107" s="8" t="s">
        <v>27</v>
      </c>
      <c r="G107" s="8" t="s">
        <v>547</v>
      </c>
      <c r="H107" s="8" t="s">
        <v>63</v>
      </c>
      <c r="I107" s="8" t="s">
        <v>548</v>
      </c>
      <c r="J107" s="10" t="n">
        <v>3</v>
      </c>
      <c r="K107" s="8" t="s">
        <v>57</v>
      </c>
      <c r="L107" s="11" t="s">
        <v>549</v>
      </c>
      <c r="M107" s="11" t="s">
        <v>550</v>
      </c>
      <c r="N107" s="10" t="s">
        <v>13</v>
      </c>
      <c r="O107" s="7"/>
    </row>
    <row r="108" customFormat="false" ht="46.25" hidden="false" customHeight="false" outlineLevel="0" collapsed="false">
      <c r="A108" s="7" t="s">
        <v>261</v>
      </c>
      <c r="B108" s="8" t="str">
        <f aca="true">IF(ISNUMBER(A108),A108-TODAY(),"")</f>
        <v/>
      </c>
      <c r="C108" s="8" t="s">
        <v>551</v>
      </c>
      <c r="D108" s="9" t="s">
        <v>552</v>
      </c>
      <c r="E108" s="8" t="s">
        <v>53</v>
      </c>
      <c r="F108" s="8" t="s">
        <v>28</v>
      </c>
      <c r="G108" s="8" t="s">
        <v>62</v>
      </c>
      <c r="H108" s="8" t="s">
        <v>63</v>
      </c>
      <c r="I108" s="8" t="s">
        <v>553</v>
      </c>
      <c r="J108" s="10" t="n">
        <v>3</v>
      </c>
      <c r="K108" s="8" t="s">
        <v>65</v>
      </c>
      <c r="L108" s="11" t="s">
        <v>554</v>
      </c>
      <c r="M108" s="11" t="s">
        <v>555</v>
      </c>
      <c r="N108" s="10" t="s">
        <v>13</v>
      </c>
      <c r="O108" s="7"/>
    </row>
    <row r="109" customFormat="false" ht="35.05" hidden="false" customHeight="false" outlineLevel="0" collapsed="false">
      <c r="A109" s="7" t="s">
        <v>261</v>
      </c>
      <c r="B109" s="8" t="str">
        <f aca="true">IF(ISNUMBER(A109),A109-TODAY(),"")</f>
        <v/>
      </c>
      <c r="C109" s="8" t="s">
        <v>556</v>
      </c>
      <c r="D109" s="9" t="s">
        <v>557</v>
      </c>
      <c r="E109" s="8" t="s">
        <v>53</v>
      </c>
      <c r="F109" s="8" t="s">
        <v>29</v>
      </c>
      <c r="G109" s="8" t="s">
        <v>558</v>
      </c>
      <c r="H109" s="8" t="s">
        <v>63</v>
      </c>
      <c r="I109" s="8" t="s">
        <v>56</v>
      </c>
      <c r="J109" s="10" t="n">
        <v>3</v>
      </c>
      <c r="K109" s="8" t="s">
        <v>65</v>
      </c>
      <c r="L109" s="11" t="s">
        <v>559</v>
      </c>
      <c r="M109" s="11" t="s">
        <v>560</v>
      </c>
      <c r="N109" s="10" t="s">
        <v>13</v>
      </c>
      <c r="O109" s="7"/>
    </row>
    <row r="110" customFormat="false" ht="46.25" hidden="false" customHeight="false" outlineLevel="0" collapsed="false">
      <c r="A110" s="7" t="s">
        <v>261</v>
      </c>
      <c r="B110" s="8" t="str">
        <f aca="true">IF(ISNUMBER(A110),A110-TODAY(),"")</f>
        <v/>
      </c>
      <c r="C110" s="8" t="s">
        <v>561</v>
      </c>
      <c r="D110" s="9" t="s">
        <v>562</v>
      </c>
      <c r="E110" s="8" t="s">
        <v>74</v>
      </c>
      <c r="F110" s="8" t="s">
        <v>28</v>
      </c>
      <c r="G110" s="8" t="s">
        <v>62</v>
      </c>
      <c r="H110" s="8" t="s">
        <v>63</v>
      </c>
      <c r="I110" s="8" t="s">
        <v>563</v>
      </c>
      <c r="J110" s="10" t="n">
        <v>3</v>
      </c>
      <c r="K110" s="8" t="s">
        <v>65</v>
      </c>
      <c r="L110" s="11" t="s">
        <v>564</v>
      </c>
      <c r="M110" s="11" t="s">
        <v>565</v>
      </c>
      <c r="N110" s="10" t="s">
        <v>13</v>
      </c>
      <c r="O110" s="7"/>
    </row>
    <row r="111" customFormat="false" ht="35.05" hidden="false" customHeight="false" outlineLevel="0" collapsed="false">
      <c r="A111" s="7" t="s">
        <v>261</v>
      </c>
      <c r="B111" s="8" t="str">
        <f aca="true">IF(ISNUMBER(A111),A111-TODAY(),"")</f>
        <v/>
      </c>
      <c r="C111" s="8" t="s">
        <v>566</v>
      </c>
      <c r="D111" s="9" t="s">
        <v>567</v>
      </c>
      <c r="E111" s="8" t="s">
        <v>53</v>
      </c>
      <c r="F111" s="8" t="s">
        <v>29</v>
      </c>
      <c r="G111" s="8" t="s">
        <v>568</v>
      </c>
      <c r="H111" s="8" t="s">
        <v>63</v>
      </c>
      <c r="I111" s="8" t="s">
        <v>56</v>
      </c>
      <c r="J111" s="10" t="n">
        <v>3</v>
      </c>
      <c r="K111" s="8" t="s">
        <v>65</v>
      </c>
      <c r="L111" s="11" t="s">
        <v>569</v>
      </c>
      <c r="M111" s="11" t="s">
        <v>570</v>
      </c>
      <c r="N111" s="10" t="s">
        <v>13</v>
      </c>
      <c r="O111" s="7"/>
    </row>
    <row r="112" customFormat="false" ht="35.05" hidden="false" customHeight="false" outlineLevel="0" collapsed="false">
      <c r="A112" s="7" t="s">
        <v>261</v>
      </c>
      <c r="B112" s="8" t="str">
        <f aca="true">IF(ISNUMBER(A112),A112-TODAY(),"")</f>
        <v/>
      </c>
      <c r="C112" s="8" t="s">
        <v>406</v>
      </c>
      <c r="D112" s="9" t="s">
        <v>571</v>
      </c>
      <c r="E112" s="8" t="s">
        <v>53</v>
      </c>
      <c r="F112" s="8" t="s">
        <v>28</v>
      </c>
      <c r="G112" s="8" t="s">
        <v>572</v>
      </c>
      <c r="H112" s="8" t="s">
        <v>63</v>
      </c>
      <c r="I112" s="8" t="s">
        <v>56</v>
      </c>
      <c r="J112" s="10" t="n">
        <v>3</v>
      </c>
      <c r="K112" s="8" t="s">
        <v>65</v>
      </c>
      <c r="L112" s="11" t="s">
        <v>573</v>
      </c>
      <c r="M112" s="11" t="s">
        <v>574</v>
      </c>
      <c r="N112" s="10" t="s">
        <v>13</v>
      </c>
      <c r="O112" s="7"/>
    </row>
    <row r="113" customFormat="false" ht="35.05" hidden="false" customHeight="false" outlineLevel="0" collapsed="false">
      <c r="A113" s="7" t="s">
        <v>261</v>
      </c>
      <c r="B113" s="8" t="str">
        <f aca="true">IF(ISNUMBER(A113),A113-TODAY(),"")</f>
        <v/>
      </c>
      <c r="C113" s="8" t="s">
        <v>575</v>
      </c>
      <c r="D113" s="9" t="s">
        <v>576</v>
      </c>
      <c r="E113" s="8" t="s">
        <v>53</v>
      </c>
      <c r="F113" s="8" t="s">
        <v>28</v>
      </c>
      <c r="G113" s="8" t="s">
        <v>62</v>
      </c>
      <c r="H113" s="8" t="s">
        <v>63</v>
      </c>
      <c r="I113" s="8" t="s">
        <v>56</v>
      </c>
      <c r="J113" s="10" t="n">
        <v>3</v>
      </c>
      <c r="K113" s="8" t="s">
        <v>65</v>
      </c>
      <c r="L113" s="11" t="s">
        <v>577</v>
      </c>
      <c r="M113" s="11" t="s">
        <v>578</v>
      </c>
      <c r="N113" s="10" t="s">
        <v>13</v>
      </c>
      <c r="O113" s="7"/>
    </row>
    <row r="114" customFormat="false" ht="57.45" hidden="false" customHeight="false" outlineLevel="0" collapsed="false">
      <c r="A114" s="7" t="s">
        <v>261</v>
      </c>
      <c r="B114" s="8" t="str">
        <f aca="true">IF(ISNUMBER(A114),A114-TODAY(),"")</f>
        <v/>
      </c>
      <c r="C114" s="8" t="s">
        <v>579</v>
      </c>
      <c r="D114" s="9" t="s">
        <v>580</v>
      </c>
      <c r="E114" s="8" t="s">
        <v>53</v>
      </c>
      <c r="F114" s="8" t="s">
        <v>28</v>
      </c>
      <c r="G114" s="8" t="s">
        <v>62</v>
      </c>
      <c r="H114" s="8" t="s">
        <v>63</v>
      </c>
      <c r="I114" s="8" t="s">
        <v>56</v>
      </c>
      <c r="J114" s="10" t="n">
        <v>3</v>
      </c>
      <c r="K114" s="8" t="s">
        <v>65</v>
      </c>
      <c r="L114" s="11" t="s">
        <v>581</v>
      </c>
      <c r="M114" s="11" t="s">
        <v>582</v>
      </c>
      <c r="N114" s="10" t="s">
        <v>13</v>
      </c>
      <c r="O114" s="7"/>
    </row>
    <row r="115" customFormat="false" ht="35.05" hidden="false" customHeight="false" outlineLevel="0" collapsed="false">
      <c r="A115" s="7" t="s">
        <v>261</v>
      </c>
      <c r="B115" s="8" t="str">
        <f aca="true">IF(ISNUMBER(A115),A115-TODAY(),"")</f>
        <v/>
      </c>
      <c r="C115" s="8" t="s">
        <v>274</v>
      </c>
      <c r="D115" s="9" t="s">
        <v>583</v>
      </c>
      <c r="E115" s="8" t="s">
        <v>53</v>
      </c>
      <c r="F115" s="8" t="s">
        <v>27</v>
      </c>
      <c r="G115" s="8" t="s">
        <v>62</v>
      </c>
      <c r="H115" s="8" t="s">
        <v>93</v>
      </c>
      <c r="I115" s="8" t="s">
        <v>584</v>
      </c>
      <c r="J115" s="10" t="n">
        <v>3</v>
      </c>
      <c r="K115" s="8" t="s">
        <v>57</v>
      </c>
      <c r="L115" s="11" t="s">
        <v>585</v>
      </c>
      <c r="M115" s="11" t="s">
        <v>586</v>
      </c>
      <c r="N115" s="10" t="s">
        <v>13</v>
      </c>
      <c r="O115" s="7"/>
    </row>
    <row r="116" customFormat="false" ht="57.45" hidden="false" customHeight="false" outlineLevel="0" collapsed="false">
      <c r="A116" s="7" t="s">
        <v>261</v>
      </c>
      <c r="B116" s="8" t="str">
        <f aca="true">IF(ISNUMBER(A116),A116-TODAY(),"")</f>
        <v/>
      </c>
      <c r="C116" s="8" t="s">
        <v>406</v>
      </c>
      <c r="D116" s="9" t="s">
        <v>587</v>
      </c>
      <c r="E116" s="8" t="s">
        <v>74</v>
      </c>
      <c r="F116" s="8" t="s">
        <v>28</v>
      </c>
      <c r="G116" s="8" t="s">
        <v>75</v>
      </c>
      <c r="H116" s="8" t="s">
        <v>63</v>
      </c>
      <c r="I116" s="8" t="s">
        <v>56</v>
      </c>
      <c r="J116" s="10" t="n">
        <v>3</v>
      </c>
      <c r="K116" s="8" t="s">
        <v>65</v>
      </c>
      <c r="L116" s="11" t="s">
        <v>588</v>
      </c>
      <c r="M116" s="11" t="s">
        <v>589</v>
      </c>
      <c r="N116" s="10" t="s">
        <v>13</v>
      </c>
      <c r="O116" s="7"/>
    </row>
    <row r="117" customFormat="false" ht="46.25" hidden="false" customHeight="false" outlineLevel="0" collapsed="false">
      <c r="A117" s="7" t="s">
        <v>261</v>
      </c>
      <c r="B117" s="8" t="str">
        <f aca="true">IF(ISNUMBER(A117),A117-TODAY(),"")</f>
        <v/>
      </c>
      <c r="C117" s="8" t="s">
        <v>590</v>
      </c>
      <c r="D117" s="9" t="s">
        <v>591</v>
      </c>
      <c r="E117" s="8" t="s">
        <v>53</v>
      </c>
      <c r="F117" s="8" t="s">
        <v>27</v>
      </c>
      <c r="G117" s="8" t="s">
        <v>75</v>
      </c>
      <c r="H117" s="8" t="s">
        <v>93</v>
      </c>
      <c r="I117" s="8" t="s">
        <v>56</v>
      </c>
      <c r="J117" s="10" t="n">
        <v>3</v>
      </c>
      <c r="K117" s="8" t="s">
        <v>57</v>
      </c>
      <c r="L117" s="11" t="s">
        <v>592</v>
      </c>
      <c r="M117" s="11" t="s">
        <v>593</v>
      </c>
      <c r="N117" s="10" t="s">
        <v>13</v>
      </c>
      <c r="O117" s="7"/>
    </row>
    <row r="118" customFormat="false" ht="35.05" hidden="false" customHeight="false" outlineLevel="0" collapsed="false">
      <c r="A118" s="7" t="s">
        <v>261</v>
      </c>
      <c r="B118" s="8" t="str">
        <f aca="true">IF(ISNUMBER(A118),A118-TODAY(),"")</f>
        <v/>
      </c>
      <c r="C118" s="8" t="s">
        <v>594</v>
      </c>
      <c r="D118" s="9" t="s">
        <v>595</v>
      </c>
      <c r="E118" s="8" t="s">
        <v>53</v>
      </c>
      <c r="F118" s="8" t="s">
        <v>31</v>
      </c>
      <c r="G118" s="8" t="s">
        <v>596</v>
      </c>
      <c r="H118" s="8" t="s">
        <v>93</v>
      </c>
      <c r="I118" s="8" t="s">
        <v>56</v>
      </c>
      <c r="J118" s="10" t="n">
        <v>3</v>
      </c>
      <c r="K118" s="8" t="s">
        <v>57</v>
      </c>
      <c r="L118" s="11" t="s">
        <v>597</v>
      </c>
      <c r="M118" s="11" t="s">
        <v>598</v>
      </c>
      <c r="N118" s="10" t="s">
        <v>13</v>
      </c>
      <c r="O118" s="7"/>
    </row>
    <row r="119" customFormat="false" ht="46.25" hidden="false" customHeight="false" outlineLevel="0" collapsed="false">
      <c r="A119" s="7" t="s">
        <v>261</v>
      </c>
      <c r="B119" s="8" t="str">
        <f aca="true">IF(ISNUMBER(A119),A119-TODAY(),"")</f>
        <v/>
      </c>
      <c r="C119" s="8" t="s">
        <v>599</v>
      </c>
      <c r="D119" s="9" t="s">
        <v>600</v>
      </c>
      <c r="E119" s="8" t="s">
        <v>53</v>
      </c>
      <c r="F119" s="8" t="s">
        <v>29</v>
      </c>
      <c r="G119" s="8" t="s">
        <v>75</v>
      </c>
      <c r="H119" s="8" t="s">
        <v>63</v>
      </c>
      <c r="I119" s="8" t="s">
        <v>56</v>
      </c>
      <c r="J119" s="10" t="n">
        <v>3</v>
      </c>
      <c r="K119" s="8" t="s">
        <v>65</v>
      </c>
      <c r="L119" s="11" t="s">
        <v>601</v>
      </c>
      <c r="M119" s="11" t="s">
        <v>602</v>
      </c>
      <c r="N119" s="10" t="s">
        <v>13</v>
      </c>
      <c r="O119" s="7"/>
    </row>
    <row r="120" customFormat="false" ht="57.45" hidden="false" customHeight="false" outlineLevel="0" collapsed="false">
      <c r="A120" s="7" t="s">
        <v>261</v>
      </c>
      <c r="B120" s="8" t="str">
        <f aca="true">IF(ISNUMBER(A120),A120-TODAY(),"")</f>
        <v/>
      </c>
      <c r="C120" s="8" t="s">
        <v>603</v>
      </c>
      <c r="D120" s="9" t="s">
        <v>604</v>
      </c>
      <c r="E120" s="8" t="s">
        <v>53</v>
      </c>
      <c r="F120" s="8" t="s">
        <v>30</v>
      </c>
      <c r="G120" s="8" t="s">
        <v>605</v>
      </c>
      <c r="H120" s="8" t="s">
        <v>63</v>
      </c>
      <c r="I120" s="8" t="s">
        <v>56</v>
      </c>
      <c r="J120" s="10" t="n">
        <v>3</v>
      </c>
      <c r="K120" s="8" t="s">
        <v>65</v>
      </c>
      <c r="L120" s="11" t="s">
        <v>606</v>
      </c>
      <c r="M120" s="11" t="s">
        <v>607</v>
      </c>
      <c r="N120" s="10" t="s">
        <v>13</v>
      </c>
      <c r="O120" s="7"/>
    </row>
    <row r="121" customFormat="false" ht="46.25" hidden="false" customHeight="false" outlineLevel="0" collapsed="false">
      <c r="A121" s="7" t="s">
        <v>261</v>
      </c>
      <c r="B121" s="8" t="str">
        <f aca="true">IF(ISNUMBER(A121),A121-TODAY(),"")</f>
        <v/>
      </c>
      <c r="C121" s="8" t="s">
        <v>406</v>
      </c>
      <c r="D121" s="9" t="s">
        <v>608</v>
      </c>
      <c r="E121" s="8" t="s">
        <v>53</v>
      </c>
      <c r="F121" s="8" t="s">
        <v>28</v>
      </c>
      <c r="G121" s="8" t="s">
        <v>609</v>
      </c>
      <c r="H121" s="8" t="s">
        <v>63</v>
      </c>
      <c r="I121" s="8" t="s">
        <v>56</v>
      </c>
      <c r="J121" s="10" t="n">
        <v>3</v>
      </c>
      <c r="K121" s="8" t="s">
        <v>65</v>
      </c>
      <c r="L121" s="11" t="s">
        <v>610</v>
      </c>
      <c r="M121" s="11" t="s">
        <v>611</v>
      </c>
      <c r="N121" s="10" t="s">
        <v>13</v>
      </c>
      <c r="O121" s="7"/>
    </row>
    <row r="122" customFormat="false" ht="57.45" hidden="false" customHeight="false" outlineLevel="0" collapsed="false">
      <c r="A122" s="7" t="s">
        <v>261</v>
      </c>
      <c r="B122" s="8" t="str">
        <f aca="true">IF(ISNUMBER(A122),A122-TODAY(),"")</f>
        <v/>
      </c>
      <c r="C122" s="8" t="s">
        <v>612</v>
      </c>
      <c r="D122" s="9" t="s">
        <v>613</v>
      </c>
      <c r="E122" s="8" t="s">
        <v>53</v>
      </c>
      <c r="F122" s="8" t="s">
        <v>27</v>
      </c>
      <c r="G122" s="8" t="s">
        <v>609</v>
      </c>
      <c r="H122" s="8" t="s">
        <v>93</v>
      </c>
      <c r="I122" s="8" t="s">
        <v>56</v>
      </c>
      <c r="J122" s="10" t="n">
        <v>3</v>
      </c>
      <c r="K122" s="8" t="s">
        <v>57</v>
      </c>
      <c r="L122" s="11" t="s">
        <v>614</v>
      </c>
      <c r="M122" s="11" t="s">
        <v>615</v>
      </c>
      <c r="N122" s="10" t="s">
        <v>13</v>
      </c>
      <c r="O122" s="7"/>
    </row>
    <row r="123" customFormat="false" ht="57.45" hidden="false" customHeight="false" outlineLevel="0" collapsed="false">
      <c r="A123" s="7" t="s">
        <v>261</v>
      </c>
      <c r="B123" s="8" t="str">
        <f aca="true">IF(ISNUMBER(A123),A123-TODAY(),"")</f>
        <v/>
      </c>
      <c r="C123" s="8" t="s">
        <v>616</v>
      </c>
      <c r="D123" s="9" t="s">
        <v>617</v>
      </c>
      <c r="E123" s="8" t="s">
        <v>74</v>
      </c>
      <c r="F123" s="8" t="s">
        <v>23</v>
      </c>
      <c r="G123" s="8" t="s">
        <v>618</v>
      </c>
      <c r="H123" s="8" t="s">
        <v>248</v>
      </c>
      <c r="I123" s="8" t="s">
        <v>619</v>
      </c>
      <c r="J123" s="10" t="n">
        <v>3</v>
      </c>
      <c r="K123" s="8" t="s">
        <v>57</v>
      </c>
      <c r="L123" s="11" t="s">
        <v>620</v>
      </c>
      <c r="M123" s="11" t="s">
        <v>621</v>
      </c>
      <c r="N123" s="10" t="s">
        <v>13</v>
      </c>
      <c r="O123" s="7"/>
    </row>
    <row r="124" customFormat="false" ht="35.05" hidden="false" customHeight="false" outlineLevel="0" collapsed="false">
      <c r="A124" s="7" t="s">
        <v>261</v>
      </c>
      <c r="B124" s="8" t="str">
        <f aca="true">IF(ISNUMBER(A124),A124-TODAY(),"")</f>
        <v/>
      </c>
      <c r="C124" s="8" t="s">
        <v>616</v>
      </c>
      <c r="D124" s="9" t="s">
        <v>622</v>
      </c>
      <c r="E124" s="8" t="s">
        <v>74</v>
      </c>
      <c r="F124" s="8" t="s">
        <v>34</v>
      </c>
      <c r="G124" s="8" t="s">
        <v>623</v>
      </c>
      <c r="H124" s="8" t="s">
        <v>248</v>
      </c>
      <c r="I124" s="8" t="s">
        <v>56</v>
      </c>
      <c r="J124" s="10" t="n">
        <v>3</v>
      </c>
      <c r="K124" s="8" t="s">
        <v>95</v>
      </c>
      <c r="L124" s="11" t="s">
        <v>624</v>
      </c>
      <c r="M124" s="11" t="s">
        <v>625</v>
      </c>
      <c r="N124" s="10" t="s">
        <v>13</v>
      </c>
      <c r="O124" s="7"/>
    </row>
    <row r="125" customFormat="false" ht="46.25" hidden="false" customHeight="false" outlineLevel="0" collapsed="false">
      <c r="A125" s="7" t="s">
        <v>261</v>
      </c>
      <c r="B125" s="8" t="str">
        <f aca="true">IF(ISNUMBER(A125),A125-TODAY(),"")</f>
        <v/>
      </c>
      <c r="C125" s="8" t="s">
        <v>616</v>
      </c>
      <c r="D125" s="9" t="s">
        <v>626</v>
      </c>
      <c r="E125" s="8" t="s">
        <v>74</v>
      </c>
      <c r="F125" s="8" t="s">
        <v>11</v>
      </c>
      <c r="G125" s="8" t="s">
        <v>618</v>
      </c>
      <c r="H125" s="8" t="s">
        <v>248</v>
      </c>
      <c r="I125" s="8" t="s">
        <v>627</v>
      </c>
      <c r="J125" s="10" t="n">
        <v>3</v>
      </c>
      <c r="K125" s="8" t="s">
        <v>95</v>
      </c>
      <c r="L125" s="11" t="s">
        <v>628</v>
      </c>
      <c r="M125" s="11" t="s">
        <v>629</v>
      </c>
      <c r="N125" s="10" t="s">
        <v>13</v>
      </c>
      <c r="O125" s="7"/>
    </row>
    <row r="126" customFormat="false" ht="35.05" hidden="false" customHeight="false" outlineLevel="0" collapsed="false">
      <c r="A126" s="7" t="s">
        <v>261</v>
      </c>
      <c r="B126" s="8" t="str">
        <f aca="true">IF(ISNUMBER(A126),A126-TODAY(),"")</f>
        <v/>
      </c>
      <c r="C126" s="8" t="s">
        <v>616</v>
      </c>
      <c r="D126" s="9" t="s">
        <v>630</v>
      </c>
      <c r="E126" s="8" t="s">
        <v>74</v>
      </c>
      <c r="F126" s="8" t="s">
        <v>23</v>
      </c>
      <c r="G126" s="8" t="s">
        <v>618</v>
      </c>
      <c r="H126" s="8" t="s">
        <v>248</v>
      </c>
      <c r="I126" s="8" t="s">
        <v>56</v>
      </c>
      <c r="J126" s="10" t="n">
        <v>3</v>
      </c>
      <c r="K126" s="8" t="s">
        <v>65</v>
      </c>
      <c r="L126" s="11" t="s">
        <v>631</v>
      </c>
      <c r="M126" s="11" t="s">
        <v>632</v>
      </c>
      <c r="N126" s="10" t="s">
        <v>13</v>
      </c>
      <c r="O126" s="7"/>
    </row>
    <row r="127" customFormat="false" ht="57.45" hidden="false" customHeight="false" outlineLevel="0" collapsed="false">
      <c r="A127" s="7" t="s">
        <v>261</v>
      </c>
      <c r="B127" s="8" t="str">
        <f aca="true">IF(ISNUMBER(A127),A127-TODAY(),"")</f>
        <v/>
      </c>
      <c r="C127" s="8" t="s">
        <v>633</v>
      </c>
      <c r="D127" s="9" t="s">
        <v>634</v>
      </c>
      <c r="E127" s="8" t="s">
        <v>74</v>
      </c>
      <c r="F127" s="8" t="s">
        <v>34</v>
      </c>
      <c r="G127" s="8" t="s">
        <v>635</v>
      </c>
      <c r="H127" s="8" t="s">
        <v>248</v>
      </c>
      <c r="I127" s="8" t="s">
        <v>56</v>
      </c>
      <c r="J127" s="10" t="n">
        <v>3</v>
      </c>
      <c r="K127" s="8" t="s">
        <v>95</v>
      </c>
      <c r="L127" s="11" t="s">
        <v>636</v>
      </c>
      <c r="M127" s="11" t="s">
        <v>637</v>
      </c>
      <c r="N127" s="10" t="s">
        <v>13</v>
      </c>
      <c r="O127" s="7"/>
    </row>
    <row r="128" customFormat="false" ht="46.25" hidden="false" customHeight="false" outlineLevel="0" collapsed="false">
      <c r="A128" s="7" t="s">
        <v>261</v>
      </c>
      <c r="B128" s="8" t="str">
        <f aca="true">IF(ISNUMBER(A128),A128-TODAY(),"")</f>
        <v/>
      </c>
      <c r="C128" s="8" t="s">
        <v>638</v>
      </c>
      <c r="D128" s="9" t="s">
        <v>639</v>
      </c>
      <c r="E128" s="8" t="s">
        <v>74</v>
      </c>
      <c r="F128" s="8" t="s">
        <v>34</v>
      </c>
      <c r="G128" s="8" t="s">
        <v>635</v>
      </c>
      <c r="H128" s="8" t="s">
        <v>248</v>
      </c>
      <c r="I128" s="8" t="s">
        <v>640</v>
      </c>
      <c r="J128" s="10" t="n">
        <v>3</v>
      </c>
      <c r="K128" s="8" t="s">
        <v>95</v>
      </c>
      <c r="L128" s="11" t="s">
        <v>641</v>
      </c>
      <c r="M128" s="11" t="s">
        <v>642</v>
      </c>
      <c r="N128" s="10" t="s">
        <v>13</v>
      </c>
      <c r="O128" s="7"/>
    </row>
    <row r="129" customFormat="false" ht="46.25" hidden="false" customHeight="false" outlineLevel="0" collapsed="false">
      <c r="A129" s="7" t="s">
        <v>261</v>
      </c>
      <c r="B129" s="8" t="str">
        <f aca="true">IF(ISNUMBER(A129),A129-TODAY(),"")</f>
        <v/>
      </c>
      <c r="C129" s="8" t="s">
        <v>643</v>
      </c>
      <c r="D129" s="9" t="s">
        <v>644</v>
      </c>
      <c r="E129" s="8" t="s">
        <v>74</v>
      </c>
      <c r="F129" s="8" t="s">
        <v>26</v>
      </c>
      <c r="G129" s="8" t="s">
        <v>645</v>
      </c>
      <c r="H129" s="8" t="s">
        <v>248</v>
      </c>
      <c r="I129" s="8" t="s">
        <v>56</v>
      </c>
      <c r="J129" s="10" t="n">
        <v>3</v>
      </c>
      <c r="K129" s="8" t="s">
        <v>87</v>
      </c>
      <c r="L129" s="11" t="s">
        <v>646</v>
      </c>
      <c r="M129" s="11" t="s">
        <v>647</v>
      </c>
      <c r="N129" s="10" t="s">
        <v>13</v>
      </c>
      <c r="O129" s="7"/>
    </row>
    <row r="130" customFormat="false" ht="46.25" hidden="false" customHeight="false" outlineLevel="0" collapsed="false">
      <c r="A130" s="7" t="s">
        <v>261</v>
      </c>
      <c r="B130" s="8" t="str">
        <f aca="true">IF(ISNUMBER(A130),A130-TODAY(),"")</f>
        <v/>
      </c>
      <c r="C130" s="8" t="s">
        <v>643</v>
      </c>
      <c r="D130" s="9" t="s">
        <v>648</v>
      </c>
      <c r="E130" s="8" t="s">
        <v>74</v>
      </c>
      <c r="F130" s="8" t="s">
        <v>11</v>
      </c>
      <c r="G130" s="8" t="s">
        <v>649</v>
      </c>
      <c r="H130" s="8" t="s">
        <v>248</v>
      </c>
      <c r="I130" s="8" t="s">
        <v>56</v>
      </c>
      <c r="J130" s="10" t="n">
        <v>3</v>
      </c>
      <c r="K130" s="8" t="s">
        <v>87</v>
      </c>
      <c r="L130" s="11" t="s">
        <v>650</v>
      </c>
      <c r="M130" s="11" t="s">
        <v>651</v>
      </c>
      <c r="N130" s="10" t="s">
        <v>13</v>
      </c>
      <c r="O130" s="7"/>
    </row>
    <row r="131" customFormat="false" ht="23.85" hidden="false" customHeight="false" outlineLevel="0" collapsed="false">
      <c r="A131" s="7" t="s">
        <v>261</v>
      </c>
      <c r="B131" s="8" t="str">
        <f aca="true">IF(ISNUMBER(A131),A131-TODAY(),"")</f>
        <v/>
      </c>
      <c r="C131" s="8" t="s">
        <v>148</v>
      </c>
      <c r="D131" s="9" t="s">
        <v>652</v>
      </c>
      <c r="E131" s="8" t="s">
        <v>74</v>
      </c>
      <c r="F131" s="8" t="s">
        <v>26</v>
      </c>
      <c r="G131" s="8" t="s">
        <v>653</v>
      </c>
      <c r="H131" s="8" t="s">
        <v>55</v>
      </c>
      <c r="I131" s="8" t="s">
        <v>56</v>
      </c>
      <c r="J131" s="10" t="n">
        <v>3</v>
      </c>
      <c r="K131" s="8" t="s">
        <v>87</v>
      </c>
      <c r="L131" s="11" t="s">
        <v>654</v>
      </c>
      <c r="M131" s="11" t="s">
        <v>655</v>
      </c>
      <c r="N131" s="10" t="s">
        <v>13</v>
      </c>
      <c r="O131" s="7"/>
    </row>
    <row r="132" customFormat="false" ht="35.05" hidden="false" customHeight="false" outlineLevel="0" collapsed="false">
      <c r="A132" s="7" t="s">
        <v>261</v>
      </c>
      <c r="B132" s="8" t="str">
        <f aca="true">IF(ISNUMBER(A132),A132-TODAY(),"")</f>
        <v/>
      </c>
      <c r="C132" s="8" t="s">
        <v>656</v>
      </c>
      <c r="D132" s="9" t="s">
        <v>657</v>
      </c>
      <c r="E132" s="8" t="s">
        <v>53</v>
      </c>
      <c r="F132" s="8" t="s">
        <v>23</v>
      </c>
      <c r="G132" s="8" t="s">
        <v>658</v>
      </c>
      <c r="H132" s="8" t="s">
        <v>63</v>
      </c>
      <c r="I132" s="8" t="s">
        <v>56</v>
      </c>
      <c r="J132" s="10" t="n">
        <v>3</v>
      </c>
      <c r="K132" s="8" t="s">
        <v>87</v>
      </c>
      <c r="L132" s="11" t="s">
        <v>659</v>
      </c>
      <c r="M132" s="11" t="s">
        <v>660</v>
      </c>
      <c r="N132" s="10" t="s">
        <v>13</v>
      </c>
      <c r="O132" s="7"/>
    </row>
    <row r="133" customFormat="false" ht="23.85" hidden="false" customHeight="false" outlineLevel="0" collapsed="false">
      <c r="A133" s="7" t="s">
        <v>261</v>
      </c>
      <c r="B133" s="8" t="str">
        <f aca="true">IF(ISNUMBER(A133),A133-TODAY(),"")</f>
        <v/>
      </c>
      <c r="C133" s="8" t="s">
        <v>84</v>
      </c>
      <c r="D133" s="9" t="s">
        <v>661</v>
      </c>
      <c r="E133" s="8" t="s">
        <v>74</v>
      </c>
      <c r="F133" s="8" t="s">
        <v>23</v>
      </c>
      <c r="G133" s="8" t="s">
        <v>662</v>
      </c>
      <c r="H133" s="8" t="s">
        <v>55</v>
      </c>
      <c r="I133" s="8" t="s">
        <v>56</v>
      </c>
      <c r="J133" s="10" t="n">
        <v>3</v>
      </c>
      <c r="K133" s="8" t="s">
        <v>57</v>
      </c>
      <c r="L133" s="11" t="s">
        <v>663</v>
      </c>
      <c r="M133" s="11" t="s">
        <v>664</v>
      </c>
      <c r="N133" s="10" t="s">
        <v>13</v>
      </c>
      <c r="O133" s="7"/>
    </row>
    <row r="134" customFormat="false" ht="23.85" hidden="false" customHeight="false" outlineLevel="0" collapsed="false">
      <c r="A134" s="7" t="s">
        <v>261</v>
      </c>
      <c r="B134" s="8" t="str">
        <f aca="true">IF(ISNUMBER(A134),A134-TODAY(),"")</f>
        <v/>
      </c>
      <c r="C134" s="8" t="s">
        <v>84</v>
      </c>
      <c r="D134" s="9" t="s">
        <v>665</v>
      </c>
      <c r="E134" s="8" t="s">
        <v>74</v>
      </c>
      <c r="F134" s="8" t="s">
        <v>20</v>
      </c>
      <c r="G134" s="8" t="s">
        <v>662</v>
      </c>
      <c r="H134" s="8" t="s">
        <v>55</v>
      </c>
      <c r="I134" s="8" t="s">
        <v>56</v>
      </c>
      <c r="J134" s="10" t="n">
        <v>3</v>
      </c>
      <c r="K134" s="8" t="s">
        <v>87</v>
      </c>
      <c r="L134" s="11" t="s">
        <v>666</v>
      </c>
      <c r="M134" s="11" t="s">
        <v>667</v>
      </c>
      <c r="N134" s="10" t="s">
        <v>13</v>
      </c>
      <c r="O134" s="7"/>
    </row>
    <row r="135" customFormat="false" ht="35.05" hidden="false" customHeight="false" outlineLevel="0" collapsed="false">
      <c r="A135" s="7" t="s">
        <v>261</v>
      </c>
      <c r="B135" s="8" t="str">
        <f aca="true">IF(ISNUMBER(A135),A135-TODAY(),"")</f>
        <v/>
      </c>
      <c r="C135" s="8" t="s">
        <v>616</v>
      </c>
      <c r="D135" s="9" t="s">
        <v>668</v>
      </c>
      <c r="E135" s="8" t="s">
        <v>74</v>
      </c>
      <c r="F135" s="8" t="s">
        <v>14</v>
      </c>
      <c r="G135" s="8" t="s">
        <v>669</v>
      </c>
      <c r="H135" s="8" t="s">
        <v>55</v>
      </c>
      <c r="I135" s="8" t="s">
        <v>56</v>
      </c>
      <c r="J135" s="10" t="n">
        <v>3</v>
      </c>
      <c r="K135" s="8" t="s">
        <v>65</v>
      </c>
      <c r="L135" s="11" t="s">
        <v>670</v>
      </c>
      <c r="M135" s="11" t="s">
        <v>671</v>
      </c>
      <c r="N135" s="10" t="s">
        <v>13</v>
      </c>
      <c r="O135" s="7"/>
    </row>
    <row r="136" customFormat="false" ht="35.05" hidden="false" customHeight="false" outlineLevel="0" collapsed="false">
      <c r="A136" s="7" t="s">
        <v>261</v>
      </c>
      <c r="B136" s="8" t="str">
        <f aca="true">IF(ISNUMBER(A136),A136-TODAY(),"")</f>
        <v/>
      </c>
      <c r="C136" s="8" t="s">
        <v>672</v>
      </c>
      <c r="D136" s="9" t="s">
        <v>673</v>
      </c>
      <c r="E136" s="8" t="s">
        <v>74</v>
      </c>
      <c r="F136" s="8" t="s">
        <v>26</v>
      </c>
      <c r="G136" s="8" t="s">
        <v>211</v>
      </c>
      <c r="H136" s="8" t="s">
        <v>63</v>
      </c>
      <c r="I136" s="8" t="s">
        <v>56</v>
      </c>
      <c r="J136" s="10" t="n">
        <v>3</v>
      </c>
      <c r="K136" s="8" t="s">
        <v>87</v>
      </c>
      <c r="L136" s="11" t="s">
        <v>674</v>
      </c>
      <c r="M136" s="11" t="s">
        <v>675</v>
      </c>
      <c r="N136" s="10" t="s">
        <v>13</v>
      </c>
      <c r="O136" s="7"/>
    </row>
    <row r="137" customFormat="false" ht="35.05" hidden="false" customHeight="false" outlineLevel="0" collapsed="false">
      <c r="A137" s="7" t="s">
        <v>261</v>
      </c>
      <c r="B137" s="8" t="str">
        <f aca="true">IF(ISNUMBER(A137),A137-TODAY(),"")</f>
        <v/>
      </c>
      <c r="C137" s="8" t="s">
        <v>676</v>
      </c>
      <c r="D137" s="9" t="s">
        <v>677</v>
      </c>
      <c r="E137" s="8" t="s">
        <v>74</v>
      </c>
      <c r="F137" s="8" t="s">
        <v>23</v>
      </c>
      <c r="G137" s="8" t="s">
        <v>678</v>
      </c>
      <c r="H137" s="8" t="s">
        <v>55</v>
      </c>
      <c r="I137" s="8" t="s">
        <v>56</v>
      </c>
      <c r="J137" s="10" t="n">
        <v>3</v>
      </c>
      <c r="K137" s="8" t="s">
        <v>87</v>
      </c>
      <c r="L137" s="11" t="s">
        <v>679</v>
      </c>
      <c r="M137" s="11" t="s">
        <v>680</v>
      </c>
      <c r="N137" s="10" t="s">
        <v>13</v>
      </c>
      <c r="O137" s="7"/>
    </row>
    <row r="138" customFormat="false" ht="35.05" hidden="false" customHeight="false" outlineLevel="0" collapsed="false">
      <c r="A138" s="7" t="s">
        <v>261</v>
      </c>
      <c r="B138" s="8" t="str">
        <f aca="true">IF(ISNUMBER(A138),A138-TODAY(),"")</f>
        <v/>
      </c>
      <c r="C138" s="8" t="s">
        <v>681</v>
      </c>
      <c r="D138" s="9" t="s">
        <v>682</v>
      </c>
      <c r="E138" s="8" t="s">
        <v>74</v>
      </c>
      <c r="F138" s="8" t="s">
        <v>26</v>
      </c>
      <c r="G138" s="8" t="s">
        <v>683</v>
      </c>
      <c r="H138" s="8" t="s">
        <v>63</v>
      </c>
      <c r="I138" s="8" t="s">
        <v>161</v>
      </c>
      <c r="J138" s="10" t="n">
        <v>3</v>
      </c>
      <c r="K138" s="8" t="s">
        <v>87</v>
      </c>
      <c r="L138" s="11" t="s">
        <v>684</v>
      </c>
      <c r="M138" s="11" t="s">
        <v>685</v>
      </c>
      <c r="N138" s="10" t="s">
        <v>13</v>
      </c>
      <c r="O138" s="7"/>
    </row>
    <row r="139" customFormat="false" ht="23.85" hidden="false" customHeight="false" outlineLevel="0" collapsed="false">
      <c r="A139" s="7" t="s">
        <v>261</v>
      </c>
      <c r="B139" s="8" t="str">
        <f aca="true">IF(ISNUMBER(A139),A139-TODAY(),"")</f>
        <v/>
      </c>
      <c r="C139" s="8" t="s">
        <v>686</v>
      </c>
      <c r="D139" s="9" t="s">
        <v>687</v>
      </c>
      <c r="E139" s="8" t="s">
        <v>74</v>
      </c>
      <c r="F139" s="8" t="s">
        <v>20</v>
      </c>
      <c r="G139" s="8" t="s">
        <v>688</v>
      </c>
      <c r="H139" s="8" t="s">
        <v>63</v>
      </c>
      <c r="I139" s="8" t="s">
        <v>689</v>
      </c>
      <c r="J139" s="10" t="n">
        <v>3</v>
      </c>
      <c r="K139" s="8" t="s">
        <v>87</v>
      </c>
      <c r="L139" s="11" t="s">
        <v>690</v>
      </c>
      <c r="M139" s="11" t="s">
        <v>691</v>
      </c>
      <c r="N139" s="10" t="s">
        <v>13</v>
      </c>
      <c r="O139" s="7"/>
    </row>
    <row r="140" customFormat="false" ht="57.45" hidden="false" customHeight="false" outlineLevel="0" collapsed="false">
      <c r="A140" s="7" t="s">
        <v>261</v>
      </c>
      <c r="B140" s="8" t="str">
        <f aca="true">IF(ISNUMBER(A140),A140-TODAY(),"")</f>
        <v/>
      </c>
      <c r="C140" s="8" t="s">
        <v>692</v>
      </c>
      <c r="D140" s="9" t="s">
        <v>693</v>
      </c>
      <c r="E140" s="8" t="s">
        <v>53</v>
      </c>
      <c r="F140" s="8" t="s">
        <v>11</v>
      </c>
      <c r="G140" s="8" t="s">
        <v>694</v>
      </c>
      <c r="H140" s="8" t="s">
        <v>55</v>
      </c>
      <c r="I140" s="8" t="s">
        <v>695</v>
      </c>
      <c r="J140" s="10" t="n">
        <v>3</v>
      </c>
      <c r="K140" s="8" t="s">
        <v>95</v>
      </c>
      <c r="L140" s="11" t="s">
        <v>696</v>
      </c>
      <c r="M140" s="11" t="s">
        <v>697</v>
      </c>
      <c r="N140" s="10" t="s">
        <v>13</v>
      </c>
      <c r="O140" s="7"/>
    </row>
    <row r="141" customFormat="false" ht="35.05" hidden="false" customHeight="false" outlineLevel="0" collapsed="false">
      <c r="A141" s="7" t="s">
        <v>261</v>
      </c>
      <c r="B141" s="8" t="str">
        <f aca="true">IF(ISNUMBER(A141),A141-TODAY(),"")</f>
        <v/>
      </c>
      <c r="C141" s="8" t="s">
        <v>698</v>
      </c>
      <c r="D141" s="9" t="s">
        <v>699</v>
      </c>
      <c r="E141" s="8" t="s">
        <v>53</v>
      </c>
      <c r="F141" s="8" t="s">
        <v>34</v>
      </c>
      <c r="G141" s="8" t="s">
        <v>700</v>
      </c>
      <c r="H141" s="8" t="s">
        <v>55</v>
      </c>
      <c r="I141" s="8" t="s">
        <v>701</v>
      </c>
      <c r="J141" s="10" t="n">
        <v>3</v>
      </c>
      <c r="K141" s="8" t="s">
        <v>95</v>
      </c>
      <c r="L141" s="11" t="s">
        <v>702</v>
      </c>
      <c r="M141" s="11" t="s">
        <v>703</v>
      </c>
      <c r="N141" s="10" t="s">
        <v>13</v>
      </c>
      <c r="O141" s="7"/>
    </row>
    <row r="142" customFormat="false" ht="35.05" hidden="false" customHeight="false" outlineLevel="0" collapsed="false">
      <c r="A142" s="7" t="s">
        <v>261</v>
      </c>
      <c r="B142" s="8" t="str">
        <f aca="true">IF(ISNUMBER(A142),A142-TODAY(),"")</f>
        <v/>
      </c>
      <c r="C142" s="8" t="s">
        <v>704</v>
      </c>
      <c r="D142" s="9" t="s">
        <v>705</v>
      </c>
      <c r="E142" s="8" t="s">
        <v>53</v>
      </c>
      <c r="F142" s="8" t="s">
        <v>34</v>
      </c>
      <c r="G142" s="8" t="s">
        <v>706</v>
      </c>
      <c r="H142" s="8" t="s">
        <v>55</v>
      </c>
      <c r="I142" s="8" t="s">
        <v>707</v>
      </c>
      <c r="J142" s="10" t="n">
        <v>3</v>
      </c>
      <c r="K142" s="8" t="s">
        <v>95</v>
      </c>
      <c r="L142" s="11" t="s">
        <v>708</v>
      </c>
      <c r="M142" s="11" t="s">
        <v>709</v>
      </c>
      <c r="N142" s="10" t="s">
        <v>13</v>
      </c>
      <c r="O142" s="7"/>
    </row>
    <row r="143" customFormat="false" ht="35.05" hidden="false" customHeight="false" outlineLevel="0" collapsed="false">
      <c r="A143" s="7" t="s">
        <v>261</v>
      </c>
      <c r="B143" s="8" t="str">
        <f aca="true">IF(ISNUMBER(A143),A143-TODAY(),"")</f>
        <v/>
      </c>
      <c r="C143" s="8" t="s">
        <v>710</v>
      </c>
      <c r="D143" s="9" t="s">
        <v>711</v>
      </c>
      <c r="E143" s="8" t="s">
        <v>53</v>
      </c>
      <c r="F143" s="8" t="s">
        <v>34</v>
      </c>
      <c r="G143" s="8" t="s">
        <v>712</v>
      </c>
      <c r="H143" s="8" t="s">
        <v>55</v>
      </c>
      <c r="I143" s="8" t="s">
        <v>56</v>
      </c>
      <c r="J143" s="10" t="n">
        <v>3</v>
      </c>
      <c r="K143" s="8" t="s">
        <v>95</v>
      </c>
      <c r="L143" s="11" t="s">
        <v>713</v>
      </c>
      <c r="M143" s="11" t="s">
        <v>714</v>
      </c>
      <c r="N143" s="10" t="s">
        <v>13</v>
      </c>
      <c r="O143" s="7"/>
    </row>
    <row r="144" customFormat="false" ht="46.25" hidden="false" customHeight="false" outlineLevel="0" collapsed="false">
      <c r="A144" s="7" t="s">
        <v>261</v>
      </c>
      <c r="B144" s="8" t="str">
        <f aca="true">IF(ISNUMBER(A144),A144-TODAY(),"")</f>
        <v/>
      </c>
      <c r="C144" s="8" t="s">
        <v>715</v>
      </c>
      <c r="D144" s="9" t="s">
        <v>716</v>
      </c>
      <c r="E144" s="8" t="s">
        <v>74</v>
      </c>
      <c r="F144" s="8" t="s">
        <v>34</v>
      </c>
      <c r="G144" s="8" t="s">
        <v>717</v>
      </c>
      <c r="H144" s="8" t="s">
        <v>55</v>
      </c>
      <c r="I144" s="8" t="s">
        <v>718</v>
      </c>
      <c r="J144" s="10" t="n">
        <v>3</v>
      </c>
      <c r="K144" s="8" t="s">
        <v>95</v>
      </c>
      <c r="L144" s="11" t="s">
        <v>719</v>
      </c>
      <c r="M144" s="11" t="s">
        <v>720</v>
      </c>
      <c r="N144" s="10" t="s">
        <v>13</v>
      </c>
      <c r="O144" s="7"/>
    </row>
    <row r="145" customFormat="false" ht="57.45" hidden="false" customHeight="false" outlineLevel="0" collapsed="false">
      <c r="A145" s="7" t="s">
        <v>261</v>
      </c>
      <c r="B145" s="8" t="str">
        <f aca="true">IF(ISNUMBER(A145),A145-TODAY(),"")</f>
        <v/>
      </c>
      <c r="C145" s="8" t="s">
        <v>721</v>
      </c>
      <c r="D145" s="9" t="s">
        <v>722</v>
      </c>
      <c r="E145" s="8" t="s">
        <v>74</v>
      </c>
      <c r="F145" s="8" t="s">
        <v>34</v>
      </c>
      <c r="G145" s="8" t="s">
        <v>723</v>
      </c>
      <c r="H145" s="8" t="s">
        <v>55</v>
      </c>
      <c r="I145" s="8" t="s">
        <v>724</v>
      </c>
      <c r="J145" s="10" t="n">
        <v>3</v>
      </c>
      <c r="K145" s="8" t="s">
        <v>95</v>
      </c>
      <c r="L145" s="11" t="s">
        <v>725</v>
      </c>
      <c r="M145" s="11" t="s">
        <v>726</v>
      </c>
      <c r="N145" s="10" t="s">
        <v>13</v>
      </c>
      <c r="O145" s="7"/>
    </row>
    <row r="146" customFormat="false" ht="46.25" hidden="false" customHeight="false" outlineLevel="0" collapsed="false">
      <c r="A146" s="7" t="s">
        <v>261</v>
      </c>
      <c r="B146" s="8" t="str">
        <f aca="true">IF(ISNUMBER(A146),A146-TODAY(),"")</f>
        <v/>
      </c>
      <c r="C146" s="8" t="s">
        <v>727</v>
      </c>
      <c r="D146" s="11" t="s">
        <v>728</v>
      </c>
      <c r="E146" s="8" t="s">
        <v>74</v>
      </c>
      <c r="F146" s="8" t="s">
        <v>32</v>
      </c>
      <c r="G146" s="8" t="s">
        <v>729</v>
      </c>
      <c r="H146" s="8" t="s">
        <v>55</v>
      </c>
      <c r="I146" s="8" t="s">
        <v>730</v>
      </c>
      <c r="J146" s="10" t="n">
        <v>3</v>
      </c>
      <c r="K146" s="8" t="s">
        <v>87</v>
      </c>
      <c r="L146" s="11" t="s">
        <v>731</v>
      </c>
      <c r="M146" s="11" t="s">
        <v>732</v>
      </c>
      <c r="N146" s="10" t="s">
        <v>13</v>
      </c>
      <c r="O146" s="7"/>
    </row>
    <row r="147" customFormat="false" ht="57.45" hidden="false" customHeight="false" outlineLevel="0" collapsed="false">
      <c r="A147" s="7" t="s">
        <v>261</v>
      </c>
      <c r="B147" s="8" t="str">
        <f aca="true">IF(ISNUMBER(A147),A147-TODAY(),"")</f>
        <v/>
      </c>
      <c r="C147" s="8" t="s">
        <v>733</v>
      </c>
      <c r="D147" s="11" t="s">
        <v>734</v>
      </c>
      <c r="E147" s="8" t="s">
        <v>74</v>
      </c>
      <c r="F147" s="8" t="s">
        <v>34</v>
      </c>
      <c r="G147" s="8" t="s">
        <v>735</v>
      </c>
      <c r="H147" s="8" t="s">
        <v>248</v>
      </c>
      <c r="I147" s="8" t="s">
        <v>56</v>
      </c>
      <c r="J147" s="10" t="n">
        <v>3</v>
      </c>
      <c r="K147" s="8" t="s">
        <v>95</v>
      </c>
      <c r="L147" s="11" t="s">
        <v>736</v>
      </c>
      <c r="M147" s="11" t="s">
        <v>737</v>
      </c>
      <c r="N147" s="10" t="s">
        <v>13</v>
      </c>
      <c r="O147" s="7"/>
    </row>
    <row r="148" customFormat="false" ht="46.25" hidden="false" customHeight="false" outlineLevel="0" collapsed="false">
      <c r="A148" s="7" t="s">
        <v>261</v>
      </c>
      <c r="B148" s="8" t="str">
        <f aca="true">IF(ISNUMBER(A148),A148-TODAY(),"")</f>
        <v/>
      </c>
      <c r="C148" s="8" t="s">
        <v>317</v>
      </c>
      <c r="D148" s="9" t="s">
        <v>738</v>
      </c>
      <c r="E148" s="8" t="s">
        <v>53</v>
      </c>
      <c r="F148" s="8" t="s">
        <v>32</v>
      </c>
      <c r="G148" s="8" t="s">
        <v>547</v>
      </c>
      <c r="H148" s="8" t="s">
        <v>55</v>
      </c>
      <c r="I148" s="8" t="s">
        <v>56</v>
      </c>
      <c r="J148" s="10" t="n">
        <v>3</v>
      </c>
      <c r="K148" s="8" t="s">
        <v>87</v>
      </c>
      <c r="L148" s="11" t="s">
        <v>739</v>
      </c>
      <c r="M148" s="11" t="s">
        <v>740</v>
      </c>
      <c r="N148" s="10" t="s">
        <v>13</v>
      </c>
      <c r="O148" s="7"/>
    </row>
    <row r="149" customFormat="false" ht="35.05" hidden="false" customHeight="false" outlineLevel="0" collapsed="false">
      <c r="A149" s="7" t="s">
        <v>261</v>
      </c>
      <c r="B149" s="8" t="str">
        <f aca="true">IF(ISNUMBER(A149),A149-TODAY(),"")</f>
        <v/>
      </c>
      <c r="C149" s="8" t="s">
        <v>317</v>
      </c>
      <c r="D149" s="9" t="s">
        <v>741</v>
      </c>
      <c r="E149" s="8" t="s">
        <v>53</v>
      </c>
      <c r="F149" s="8" t="s">
        <v>32</v>
      </c>
      <c r="G149" s="8" t="s">
        <v>547</v>
      </c>
      <c r="H149" s="8" t="s">
        <v>55</v>
      </c>
      <c r="I149" s="8" t="s">
        <v>742</v>
      </c>
      <c r="J149" s="10" t="n">
        <v>3</v>
      </c>
      <c r="K149" s="8" t="s">
        <v>87</v>
      </c>
      <c r="L149" s="11" t="s">
        <v>743</v>
      </c>
      <c r="M149" s="11" t="s">
        <v>744</v>
      </c>
      <c r="N149" s="10" t="s">
        <v>13</v>
      </c>
      <c r="O149" s="7"/>
    </row>
    <row r="150" customFormat="false" ht="46.25" hidden="false" customHeight="false" outlineLevel="0" collapsed="false">
      <c r="A150" s="7" t="s">
        <v>261</v>
      </c>
      <c r="B150" s="8" t="str">
        <f aca="true">IF(ISNUMBER(A150),A150-TODAY(),"")</f>
        <v/>
      </c>
      <c r="C150" s="8" t="s">
        <v>745</v>
      </c>
      <c r="D150" s="11" t="s">
        <v>746</v>
      </c>
      <c r="E150" s="8" t="s">
        <v>53</v>
      </c>
      <c r="F150" s="8" t="s">
        <v>34</v>
      </c>
      <c r="G150" s="8" t="s">
        <v>75</v>
      </c>
      <c r="H150" s="8" t="s">
        <v>55</v>
      </c>
      <c r="I150" s="8" t="s">
        <v>56</v>
      </c>
      <c r="J150" s="10" t="n">
        <v>3</v>
      </c>
      <c r="K150" s="8" t="s">
        <v>95</v>
      </c>
      <c r="L150" s="11" t="s">
        <v>747</v>
      </c>
      <c r="M150" s="11" t="s">
        <v>748</v>
      </c>
      <c r="N150" s="10" t="s">
        <v>13</v>
      </c>
      <c r="O150" s="7"/>
    </row>
    <row r="151" customFormat="false" ht="35.05" hidden="false" customHeight="false" outlineLevel="0" collapsed="false">
      <c r="A151" s="7" t="s">
        <v>261</v>
      </c>
      <c r="B151" s="8" t="str">
        <f aca="true">IF(ISNUMBER(A151),A151-TODAY(),"")</f>
        <v/>
      </c>
      <c r="C151" s="8" t="s">
        <v>391</v>
      </c>
      <c r="D151" s="9" t="s">
        <v>749</v>
      </c>
      <c r="E151" s="8" t="s">
        <v>53</v>
      </c>
      <c r="F151" s="8" t="s">
        <v>34</v>
      </c>
      <c r="G151" s="8" t="s">
        <v>75</v>
      </c>
      <c r="H151" s="8" t="s">
        <v>55</v>
      </c>
      <c r="I151" s="8" t="s">
        <v>56</v>
      </c>
      <c r="J151" s="10" t="n">
        <v>3</v>
      </c>
      <c r="K151" s="8" t="s">
        <v>65</v>
      </c>
      <c r="L151" s="11" t="s">
        <v>750</v>
      </c>
      <c r="M151" s="11" t="s">
        <v>751</v>
      </c>
      <c r="N151" s="10" t="s">
        <v>13</v>
      </c>
      <c r="O151" s="7"/>
    </row>
    <row r="152" customFormat="false" ht="23.85" hidden="false" customHeight="false" outlineLevel="0" collapsed="false">
      <c r="A152" s="7" t="s">
        <v>261</v>
      </c>
      <c r="B152" s="8" t="str">
        <f aca="true">IF(ISNUMBER(A152),A152-TODAY(),"")</f>
        <v/>
      </c>
      <c r="C152" s="8" t="s">
        <v>413</v>
      </c>
      <c r="D152" s="9" t="s">
        <v>752</v>
      </c>
      <c r="E152" s="8" t="s">
        <v>74</v>
      </c>
      <c r="F152" s="8" t="s">
        <v>35</v>
      </c>
      <c r="G152" s="8" t="s">
        <v>62</v>
      </c>
      <c r="H152" s="8" t="s">
        <v>63</v>
      </c>
      <c r="I152" s="8" t="s">
        <v>753</v>
      </c>
      <c r="J152" s="10" t="n">
        <v>3</v>
      </c>
      <c r="K152" s="8" t="s">
        <v>65</v>
      </c>
      <c r="L152" s="11" t="s">
        <v>754</v>
      </c>
      <c r="M152" s="11" t="s">
        <v>755</v>
      </c>
      <c r="N152" s="10" t="s">
        <v>13</v>
      </c>
      <c r="O152" s="7"/>
    </row>
    <row r="153" customFormat="false" ht="23.85" hidden="false" customHeight="false" outlineLevel="0" collapsed="false">
      <c r="A153" s="7" t="s">
        <v>261</v>
      </c>
      <c r="B153" s="8" t="str">
        <f aca="true">IF(ISNUMBER(A153),A153-TODAY(),"")</f>
        <v/>
      </c>
      <c r="C153" s="8" t="s">
        <v>413</v>
      </c>
      <c r="D153" s="9" t="s">
        <v>756</v>
      </c>
      <c r="E153" s="8" t="s">
        <v>74</v>
      </c>
      <c r="F153" s="8" t="s">
        <v>35</v>
      </c>
      <c r="G153" s="8" t="s">
        <v>280</v>
      </c>
      <c r="H153" s="8" t="s">
        <v>63</v>
      </c>
      <c r="I153" s="8" t="s">
        <v>757</v>
      </c>
      <c r="J153" s="10" t="n">
        <v>3</v>
      </c>
      <c r="K153" s="8" t="s">
        <v>65</v>
      </c>
      <c r="L153" s="11" t="s">
        <v>758</v>
      </c>
      <c r="M153" s="11" t="s">
        <v>759</v>
      </c>
      <c r="N153" s="10" t="s">
        <v>13</v>
      </c>
      <c r="O153" s="7"/>
    </row>
    <row r="154" customFormat="false" ht="35.05" hidden="false" customHeight="false" outlineLevel="0" collapsed="false">
      <c r="A154" s="7" t="s">
        <v>261</v>
      </c>
      <c r="B154" s="8" t="str">
        <f aca="true">IF(ISNUMBER(A154),A154-TODAY(),"")</f>
        <v/>
      </c>
      <c r="C154" s="8" t="s">
        <v>760</v>
      </c>
      <c r="D154" s="9" t="s">
        <v>761</v>
      </c>
      <c r="E154" s="8" t="s">
        <v>53</v>
      </c>
      <c r="F154" s="8" t="s">
        <v>35</v>
      </c>
      <c r="G154" s="8" t="s">
        <v>54</v>
      </c>
      <c r="H154" s="8" t="s">
        <v>63</v>
      </c>
      <c r="I154" s="8" t="s">
        <v>56</v>
      </c>
      <c r="J154" s="10" t="n">
        <v>3</v>
      </c>
      <c r="K154" s="8" t="s">
        <v>65</v>
      </c>
      <c r="L154" s="11" t="s">
        <v>762</v>
      </c>
      <c r="M154" s="11" t="s">
        <v>763</v>
      </c>
      <c r="N154" s="10" t="s">
        <v>13</v>
      </c>
      <c r="O154" s="7"/>
    </row>
    <row r="155" customFormat="false" ht="23.85" hidden="false" customHeight="false" outlineLevel="0" collapsed="false">
      <c r="A155" s="7" t="s">
        <v>261</v>
      </c>
      <c r="B155" s="8" t="str">
        <f aca="true">IF(ISNUMBER(A155),A155-TODAY(),"")</f>
        <v/>
      </c>
      <c r="C155" s="8" t="s">
        <v>764</v>
      </c>
      <c r="D155" s="9" t="s">
        <v>765</v>
      </c>
      <c r="E155" s="8" t="s">
        <v>53</v>
      </c>
      <c r="F155" s="8" t="s">
        <v>35</v>
      </c>
      <c r="G155" s="8" t="s">
        <v>280</v>
      </c>
      <c r="H155" s="8" t="s">
        <v>93</v>
      </c>
      <c r="I155" s="8" t="s">
        <v>766</v>
      </c>
      <c r="J155" s="10" t="n">
        <v>3</v>
      </c>
      <c r="K155" s="8" t="s">
        <v>65</v>
      </c>
      <c r="L155" s="11" t="s">
        <v>767</v>
      </c>
      <c r="M155" s="11" t="s">
        <v>768</v>
      </c>
      <c r="N155" s="10" t="s">
        <v>13</v>
      </c>
      <c r="O155" s="7"/>
    </row>
    <row r="156" customFormat="false" ht="35.05" hidden="false" customHeight="false" outlineLevel="0" collapsed="false">
      <c r="A156" s="7" t="s">
        <v>261</v>
      </c>
      <c r="B156" s="8" t="str">
        <f aca="true">IF(ISNUMBER(A156),A156-TODAY(),"")</f>
        <v/>
      </c>
      <c r="C156" s="8" t="s">
        <v>769</v>
      </c>
      <c r="D156" s="9" t="s">
        <v>770</v>
      </c>
      <c r="E156" s="8" t="s">
        <v>74</v>
      </c>
      <c r="F156" s="8" t="s">
        <v>35</v>
      </c>
      <c r="G156" s="8" t="s">
        <v>280</v>
      </c>
      <c r="H156" s="8" t="s">
        <v>63</v>
      </c>
      <c r="I156" s="8" t="s">
        <v>56</v>
      </c>
      <c r="J156" s="10" t="n">
        <v>3</v>
      </c>
      <c r="K156" s="8" t="s">
        <v>65</v>
      </c>
      <c r="L156" s="11" t="s">
        <v>771</v>
      </c>
      <c r="M156" s="11" t="s">
        <v>772</v>
      </c>
      <c r="N156" s="10" t="s">
        <v>13</v>
      </c>
      <c r="O156" s="7"/>
    </row>
    <row r="157" customFormat="false" ht="35.05" hidden="false" customHeight="false" outlineLevel="0" collapsed="false">
      <c r="A157" s="7" t="s">
        <v>261</v>
      </c>
      <c r="B157" s="8" t="str">
        <f aca="true">IF(ISNUMBER(A157),A157-TODAY(),"")</f>
        <v/>
      </c>
      <c r="C157" s="8" t="s">
        <v>773</v>
      </c>
      <c r="D157" s="9" t="s">
        <v>774</v>
      </c>
      <c r="E157" s="8" t="s">
        <v>74</v>
      </c>
      <c r="F157" s="8" t="s">
        <v>35</v>
      </c>
      <c r="G157" s="8" t="s">
        <v>775</v>
      </c>
      <c r="H157" s="8" t="s">
        <v>63</v>
      </c>
      <c r="I157" s="8" t="s">
        <v>776</v>
      </c>
      <c r="J157" s="10" t="n">
        <v>3</v>
      </c>
      <c r="K157" s="8" t="s">
        <v>65</v>
      </c>
      <c r="L157" s="11" t="s">
        <v>777</v>
      </c>
      <c r="M157" s="11" t="s">
        <v>778</v>
      </c>
      <c r="N157" s="10" t="s">
        <v>13</v>
      </c>
      <c r="O157" s="7"/>
    </row>
    <row r="158" customFormat="false" ht="23.85" hidden="false" customHeight="false" outlineLevel="0" collapsed="false">
      <c r="A158" s="7" t="s">
        <v>261</v>
      </c>
      <c r="B158" s="8" t="str">
        <f aca="true">IF(ISNUMBER(A158),A158-TODAY(),"")</f>
        <v/>
      </c>
      <c r="C158" s="8" t="s">
        <v>779</v>
      </c>
      <c r="D158" s="9" t="s">
        <v>780</v>
      </c>
      <c r="E158" s="8" t="s">
        <v>74</v>
      </c>
      <c r="F158" s="8" t="s">
        <v>35</v>
      </c>
      <c r="G158" s="8" t="s">
        <v>781</v>
      </c>
      <c r="H158" s="8" t="s">
        <v>63</v>
      </c>
      <c r="I158" s="8" t="s">
        <v>56</v>
      </c>
      <c r="J158" s="10" t="n">
        <v>3</v>
      </c>
      <c r="K158" s="8" t="s">
        <v>65</v>
      </c>
      <c r="L158" s="11" t="s">
        <v>782</v>
      </c>
      <c r="M158" s="11" t="s">
        <v>783</v>
      </c>
      <c r="N158" s="10" t="s">
        <v>13</v>
      </c>
      <c r="O158" s="7"/>
    </row>
    <row r="159" customFormat="false" ht="35.05" hidden="false" customHeight="false" outlineLevel="0" collapsed="false">
      <c r="A159" s="7" t="s">
        <v>261</v>
      </c>
      <c r="B159" s="8" t="str">
        <f aca="true">IF(ISNUMBER(A159),A159-TODAY(),"")</f>
        <v/>
      </c>
      <c r="C159" s="8" t="s">
        <v>784</v>
      </c>
      <c r="D159" s="9" t="s">
        <v>785</v>
      </c>
      <c r="E159" s="8" t="s">
        <v>74</v>
      </c>
      <c r="F159" s="8" t="s">
        <v>30</v>
      </c>
      <c r="G159" s="8" t="s">
        <v>62</v>
      </c>
      <c r="H159" s="8" t="s">
        <v>55</v>
      </c>
      <c r="I159" s="8" t="s">
        <v>56</v>
      </c>
      <c r="J159" s="10" t="n">
        <v>3</v>
      </c>
      <c r="K159" s="8" t="s">
        <v>65</v>
      </c>
      <c r="L159" s="11" t="s">
        <v>786</v>
      </c>
      <c r="M159" s="11" t="s">
        <v>787</v>
      </c>
      <c r="N159" s="10" t="s">
        <v>13</v>
      </c>
      <c r="O159" s="7"/>
    </row>
    <row r="160" customFormat="false" ht="23.85" hidden="false" customHeight="false" outlineLevel="0" collapsed="false">
      <c r="A160" s="7" t="s">
        <v>261</v>
      </c>
      <c r="B160" s="8" t="str">
        <f aca="true">IF(ISNUMBER(A160),A160-TODAY(),"")</f>
        <v/>
      </c>
      <c r="C160" s="8" t="s">
        <v>788</v>
      </c>
      <c r="D160" s="9" t="s">
        <v>789</v>
      </c>
      <c r="E160" s="8" t="s">
        <v>74</v>
      </c>
      <c r="F160" s="8" t="s">
        <v>35</v>
      </c>
      <c r="G160" s="8" t="s">
        <v>55</v>
      </c>
      <c r="H160" s="8" t="s">
        <v>55</v>
      </c>
      <c r="I160" s="8" t="s">
        <v>56</v>
      </c>
      <c r="J160" s="10" t="n">
        <v>3</v>
      </c>
      <c r="K160" s="8" t="s">
        <v>65</v>
      </c>
      <c r="L160" s="11" t="s">
        <v>790</v>
      </c>
      <c r="M160" s="11" t="s">
        <v>791</v>
      </c>
      <c r="N160" s="10" t="s">
        <v>13</v>
      </c>
      <c r="O160" s="7"/>
    </row>
    <row r="161" customFormat="false" ht="46.25" hidden="false" customHeight="false" outlineLevel="0" collapsed="false">
      <c r="A161" s="7" t="s">
        <v>261</v>
      </c>
      <c r="B161" s="8" t="str">
        <f aca="true">IF(ISNUMBER(A161),A161-TODAY(),"")</f>
        <v/>
      </c>
      <c r="C161" s="8" t="s">
        <v>792</v>
      </c>
      <c r="D161" s="9" t="s">
        <v>793</v>
      </c>
      <c r="E161" s="8" t="s">
        <v>53</v>
      </c>
      <c r="F161" s="8" t="s">
        <v>35</v>
      </c>
      <c r="G161" s="8" t="s">
        <v>211</v>
      </c>
      <c r="H161" s="8" t="s">
        <v>63</v>
      </c>
      <c r="I161" s="8" t="s">
        <v>56</v>
      </c>
      <c r="J161" s="10" t="n">
        <v>3</v>
      </c>
      <c r="K161" s="8" t="s">
        <v>65</v>
      </c>
      <c r="L161" s="11" t="s">
        <v>794</v>
      </c>
      <c r="M161" s="11" t="s">
        <v>795</v>
      </c>
      <c r="N161" s="10" t="s">
        <v>13</v>
      </c>
      <c r="O161" s="7"/>
    </row>
    <row r="162" customFormat="false" ht="23.85" hidden="false" customHeight="false" outlineLevel="0" collapsed="false">
      <c r="A162" s="7" t="s">
        <v>261</v>
      </c>
      <c r="B162" s="8" t="str">
        <f aca="true">IF(ISNUMBER(A162),A162-TODAY(),"")</f>
        <v/>
      </c>
      <c r="C162" s="8" t="s">
        <v>796</v>
      </c>
      <c r="D162" s="9" t="s">
        <v>797</v>
      </c>
      <c r="E162" s="8" t="s">
        <v>74</v>
      </c>
      <c r="F162" s="8" t="s">
        <v>35</v>
      </c>
      <c r="G162" s="8" t="s">
        <v>55</v>
      </c>
      <c r="H162" s="8" t="s">
        <v>55</v>
      </c>
      <c r="I162" s="8" t="s">
        <v>56</v>
      </c>
      <c r="J162" s="10" t="n">
        <v>3</v>
      </c>
      <c r="K162" s="8" t="s">
        <v>65</v>
      </c>
      <c r="L162" s="11" t="s">
        <v>798</v>
      </c>
      <c r="M162" s="11" t="s">
        <v>799</v>
      </c>
      <c r="N162" s="10" t="s">
        <v>13</v>
      </c>
      <c r="O162" s="7"/>
    </row>
    <row r="163" customFormat="false" ht="35.05" hidden="false" customHeight="false" outlineLevel="0" collapsed="false">
      <c r="A163" s="7" t="s">
        <v>261</v>
      </c>
      <c r="B163" s="8" t="str">
        <f aca="true">IF(ISNUMBER(A163),A163-TODAY(),"")</f>
        <v/>
      </c>
      <c r="C163" s="8" t="s">
        <v>800</v>
      </c>
      <c r="D163" s="9" t="s">
        <v>801</v>
      </c>
      <c r="E163" s="8" t="s">
        <v>74</v>
      </c>
      <c r="F163" s="8" t="s">
        <v>35</v>
      </c>
      <c r="G163" s="8" t="s">
        <v>62</v>
      </c>
      <c r="H163" s="8" t="s">
        <v>63</v>
      </c>
      <c r="I163" s="8" t="s">
        <v>802</v>
      </c>
      <c r="J163" s="10" t="n">
        <v>3</v>
      </c>
      <c r="K163" s="8" t="s">
        <v>65</v>
      </c>
      <c r="L163" s="11" t="s">
        <v>803</v>
      </c>
      <c r="M163" s="11" t="s">
        <v>804</v>
      </c>
      <c r="N163" s="10" t="s">
        <v>13</v>
      </c>
      <c r="O163" s="7"/>
    </row>
  </sheetData>
  <autoFilter ref="A1:O163"/>
  <conditionalFormatting sqref="A2:O163">
    <cfRule type="expression" priority="2" aboveAverage="0" equalAverage="0" bottom="0" percent="0" rank="0" text="" dxfId="7">
      <formula>OR($N2="Applied",$N2="Assessment",$N2="Interview R1",$N2="Interview R2",$N2="Final round",$N2="Offer")</formula>
    </cfRule>
    <cfRule type="expression" priority="3" aboveAverage="0" equalAverage="0" bottom="0" percent="0" rank="0" text="" dxfId="8">
      <formula>OR($N2="Rejected",$N2="Withdrawn",$N2="Skip",$N2="Ghosted")</formula>
    </cfRule>
    <cfRule type="expression" priority="4" aboveAverage="0" equalAverage="0" bottom="0" percent="0" rank="0" text="" dxfId="9">
      <formula>AND(ISNUMBER($B2),$B2&lt;0)</formula>
    </cfRule>
    <cfRule type="expression" priority="5" aboveAverage="0" equalAverage="0" bottom="0" percent="0" rank="0" text="" dxfId="10">
      <formula>AND(ISNUMBER($B2),$B2&lt;=7)</formula>
    </cfRule>
    <cfRule type="expression" priority="6" aboveAverage="0" equalAverage="0" bottom="0" percent="0" rank="0" text="" dxfId="11">
      <formula>AND(ISNUMBER($B2),$B2&lt;=21)</formula>
    </cfRule>
  </conditionalFormatting>
  <conditionalFormatting sqref="J2:J163">
    <cfRule type="expression" priority="7" aboveAverage="0" equalAverage="0" bottom="0" percent="0" rank="0" text="" dxfId="12">
      <formula>$J2&gt;=4</formula>
    </cfRule>
  </conditionalFormatting>
  <dataValidations count="1">
    <dataValidation allowBlank="true" errorStyle="stop" operator="between" showDropDown="false" showErrorMessage="false" showInputMessage="false" sqref="N2:N163" type="list">
      <formula1>"To apply,In progress,Applied,Assessment,Interview R1,Interview R2,Final round,Offer,Rejected,Ghosted,Withdrawn,Skip"</formula1>
      <formula2>0</formula2>
    </dataValidation>
  </dataValidations>
  <hyperlinks>
    <hyperlink ref="D2" r:id="rId1" display="Associate - Health Care (HEOR, Epidemiology &amp; Market Access) (2027 Start Date)"/>
    <hyperlink ref="D3" r:id="rId2" display="Campus Recruiting - 2027 Investment Banking Analyst - Healthcare"/>
    <hyperlink ref="D4" r:id="rId3" display="Life Sciences Strategy Analyst (September 2027 Start Date)"/>
    <hyperlink ref="D5" r:id="rId4" display="Life Sciences Summer Analyst Intern (Summer 2027) - London"/>
    <hyperlink ref="D6" r:id="rId5" display="Rotational Analyst Program (Class of 2027)"/>
    <hyperlink ref="D7" r:id="rId6" display="2027 Future Talent Program – Regulatory Chemistry, Manufacturing and Controls (CMC) Intern"/>
    <hyperlink ref="D8" r:id="rId7" display="[2027] Associate Product Manager, Early Career"/>
    <hyperlink ref="D9" r:id="rId8" display="2027 Blackstone Tactical Opportunities Summer Analyst (London)"/>
    <hyperlink ref="D10" r:id="rId9" display="2027 Blackstone Private Wealth Summer Analyst (London)"/>
    <hyperlink ref="D11" r:id="rId10" display="2027 Marketing Leadership Development Program - Full-Time Analyst"/>
    <hyperlink ref="D12" r:id="rId11" display="2027 Future Talent Program - Epidemiology and RWE Capabilities &amp; Analytics - Intern"/>
    <hyperlink ref="D13" r:id="rId12" display="Clinical Research Coordinator I (Dr. Kontorovich's Lab) - Cardiovascular Research Institute"/>
    <hyperlink ref="D14" r:id="rId13" display="Consultative Offerings - Summer Scholar - Enterprise Strategy (Life Sciences &amp; Health Care option)"/>
    <hyperlink ref="D15" r:id="rId14" display="Summer 2027 Pfizer Global Supply Internship"/>
    <hyperlink ref="D16" r:id="rId15" display="2027 Asset Management Investments Full Time Analyst Program (Alternatives track incl. private equity, growth equity, private credit)"/>
    <hyperlink ref="D17" r:id="rId16" display="Summer 2027 Research &amp; Development Internship (Pfizer Futures)"/>
    <hyperlink ref="D18" r:id="rId17" display="2027 Pfizer Futures Summer Internship (business tracks incl. commercial, regulatory)"/>
    <hyperlink ref="D19" r:id="rId18" display="Summer 2027 Finance &amp; Global Business Services Internship"/>
    <hyperlink ref="D20" r:id="rId19" display="2027 GD (U.S.) Summer Intern – Global Development"/>
    <hyperlink ref="D21" r:id="rId20" display="Consultative Offerings - Summer Scholar - Functional &amp; Operations Strategy (May 2027)"/>
    <hyperlink ref="D22" r:id="rId21" display="Summer 2027 Internship Program - Commercial Strategy Intern"/>
    <hyperlink ref="D23" r:id="rId22" display="Summer 2027 Internship Program - Business &amp; Product Strategy Intern"/>
    <hyperlink ref="D24" r:id="rId23" display="Summer 2027 Internship Program - Trade Marketing and Content Intern"/>
    <hyperlink ref="D25" r:id="rId24" display="Marketing Analytics - Client Services Associate - July 2027 Start Date - ADP"/>
    <hyperlink ref="D26" r:id="rId25" display="Equity Research Graduate Programme 2027 - London"/>
    <hyperlink ref="D27" r:id="rId26" display="Pfizer Statistics Summer Internship - 2027"/>
    <hyperlink ref="D28" r:id="rId27" display="Analyst Intern - Health Care (HEOR, Epidemiology &amp; Market Access) - London (2027 Start Date)"/>
    <hyperlink ref="D29" r:id="rId28" display="Decision Analytics Associate Intern - London 2027"/>
    <hyperlink ref="D30" r:id="rId29" display="Lauder Summer 2027 Intern, Marketing (MAC Cosmetics)"/>
    <hyperlink ref="D31" r:id="rId30" display="Commercialization Intern (Summer 2027)"/>
    <hyperlink ref="D32" r:id="rId31" display="Clinical Research Coordinator I - Maternal Fetal Medicine (OB/GYN)"/>
    <hyperlink ref="D33" r:id="rId32" display="2027 Summer Intern – Global Procurement"/>
    <hyperlink ref="D34" r:id="rId33" display="2027 Summer Internship Opportunities – Cambridge, MA"/>
    <hyperlink ref="D35" r:id="rId34" display="2027 Summer Intern – Commercial Graduate Program Associate, General Medicines"/>
    <hyperlink ref="D36" r:id="rId35" display="2027 Summer Intern – Commercial Graduate Program Associate, Vaccines"/>
    <hyperlink ref="D37" r:id="rId36" display="Business Intern, 2027 (English)"/>
    <hyperlink ref="D38" r:id="rId37" display="2027 Business Strategy &amp; Operations Summer Internship"/>
    <hyperlink ref="D39" r:id="rId38" display="2027 Capital Markets Advisory: Equity Capital Markets Full Time Analyst Program"/>
    <hyperlink ref="D40" r:id="rId39" display="2027 Capital Markets Advisory: Private Capital Markets / Credit Ratings Advisory Full Time Analyst"/>
    <hyperlink ref="D41" r:id="rId40" display="London Office - Summer Associate 2027"/>
    <hyperlink ref="D42" r:id="rId41" display="Global Market Access Summer Associate (Summer 2027)"/>
    <hyperlink ref="D43" r:id="rId42" display="2027 Equity Research Analyst Programme - London"/>
    <hyperlink ref="D44" r:id="rId43" display="2027 Kleiner Perkins Engineering Fellow"/>
    <hyperlink ref="D45" r:id="rId44" display="Strategic Project Associate"/>
    <hyperlink ref="D46" r:id="rId45" display="Associate Consultant, Market Access Strategy Consulting (July 2027 start)"/>
    <hyperlink ref="D47" r:id="rId46" display="Consultant - Life Sciences Advisory, Health Segment - Campus 2027"/>
    <hyperlink ref="D48" r:id="rId47" display="2027 Investment Banking Analyst - Healthcare Biotech"/>
    <hyperlink ref="D49" r:id="rId48" display="Global Regulatory Sciences Rotational Program (cohort starting Summer 2027)"/>
    <hyperlink ref="D50" r:id="rId49" display="2027 Future Talent Program – Global Regulatory Affairs &amp; Compliance US Subsidiary Intern (Drug Shortages &amp; Support Functions)"/>
    <hyperlink ref="D51" r:id="rId50" display="Influencer Marketing Associate (College Grad 2027)"/>
    <hyperlink ref="D52" r:id="rId51" display="Customer Strategy &amp; Ops - New Grad (2027)"/>
    <hyperlink ref="D53" r:id="rId52" display="Customer Growth Associate, Google Customer Solutions, University Graduate, 2027 Start"/>
    <hyperlink ref="D54" r:id="rId53" display="New York - Strategic Finance Intern - 2027"/>
    <hyperlink ref="D55" r:id="rId54" display="Category Associate - New Grad Business Program"/>
    <hyperlink ref="D56" r:id="rId55" display="Creative Product Operations Graduate (International Advertising - Creative and Brand Innovation) - 2027 Start"/>
    <hyperlink ref="D57" r:id="rId56" display="Campus Undergraduate Full-Time Analyst - 2027 Data &amp; Analytics, Enterprise Technology Services"/>
    <hyperlink ref="D58" r:id="rId57" display="Innovation &amp; Technology Internship - Data Science - Summer 2027 (Undergraduate)"/>
    <hyperlink ref="D59" r:id="rId58" display="2027 Future Talent Program - Study Management - Intern"/>
    <hyperlink ref="D60" r:id="rId59" display="2027 Future Talent Program - Clinical Business Operations - Intern"/>
    <hyperlink ref="D61" r:id="rId60" display="Consulting Analyst - Life Sciences Advisory, Health Segment - Campus 2027"/>
    <hyperlink ref="D62" r:id="rId61" display="Point72 Academy Investment Analyst Program for Upcoming Graduates (2027 - US)"/>
    <hyperlink ref="D63" r:id="rId62" display="Equities - Citadel Associate Program - Full Time Program 2027 (US)"/>
    <hyperlink ref="D64" r:id="rId63" display="Global Regulatory Affairs Intern (2027 program)"/>
    <hyperlink ref="D65" r:id="rId64" display="2027 Future Talent Program – International Pricing Analytics Intern"/>
    <hyperlink ref="D66" r:id="rId65" display="Commercial Analytics Co-op (Summer 2027 term)"/>
    <hyperlink ref="D67" r:id="rId66" display="Market Intelligence and Strategy Internship"/>
    <hyperlink ref="D68" r:id="rId67" display="Associate Product Manager Intern (Summer 2027)"/>
    <hyperlink ref="D69" r:id="rId68" display="Pfizer Futures 2027 – Digital &amp; Technology Summer Internship"/>
    <hyperlink ref="D70" r:id="rId69" display="Claude Corps Fellow – Cohort 2 (Mar 2027) or Cohort 3 (Aug 2027)"/>
    <hyperlink ref="D71" r:id="rId70" display="2027 Full-Time Analyst Program - AMRS"/>
    <hyperlink ref="D72" r:id="rId71" display="Full Time Analyst 2027 (two-year VC analyst program)"/>
    <hyperlink ref="D73" r:id="rId72" display="Full-Time Venture Capital Analyst (late summer 2027 start)"/>
    <hyperlink ref="D74" r:id="rId73" display="2027 Americas Summer Analyst – Asset Management, Alternatives / Private Investing (New York)"/>
    <hyperlink ref="D75" r:id="rId74" display="2027 Americas Summer Analyst – Asset Management, Alternatives / Private Investing (San Francisco)"/>
    <hyperlink ref="D76" r:id="rId75" display="2027 Private Equity Summer Analyst"/>
    <hyperlink ref="D77" r:id="rId76" display="2027 Management Trainee Program - Digital"/>
    <hyperlink ref="D78" r:id="rId77" display="Brand Manager (2027 Undergrad and Master's - Non MBA)"/>
    <hyperlink ref="D79" r:id="rId78" display="Campus Undergraduate Summer Internship Program - 2027 Marketing Operations, US Consumer Services"/>
    <hyperlink ref="D80" r:id="rId79" display="2027 Summer Internship Program - AMERS"/>
    <hyperlink ref="D81" r:id="rId80" display="2027 Intern - Digital Strategy Analyst, Strategic Advisory"/>
    <hyperlink ref="D82" r:id="rId81" display="Summer 2027 Intern - Product GTM Strategy"/>
    <hyperlink ref="D83" r:id="rId82" display="Business Operations Intern - Summer 2027"/>
    <hyperlink ref="D84" r:id="rId83" display="Business Operations Internship, Summer 2027"/>
    <hyperlink ref="D85" r:id="rId84" display="Lauder Summer 2027 Intern, Technology, Data &amp; Analytics"/>
    <hyperlink ref="D86" r:id="rId85" display="2027 Summer Intern: Marketing Intern - Undergrad"/>
    <hyperlink ref="D87" r:id="rId86" display="Amazon Finance Rotational Program (AFRP) - Business Unit Finance, Early Career - 2027"/>
    <hyperlink ref="D88" r:id="rId87" display="Sales Analyst Intern, Summer 2027"/>
    <hyperlink ref="D89" r:id="rId88" display="2027 Future Talent Program - Global Data Management and Standards (GDMS) - Intern"/>
    <hyperlink ref="D90" r:id="rId89" display="2027 Future Talent Program - Data Analytics and Insights - Intern"/>
    <hyperlink ref="D91" r:id="rId90" display="2027 Future Talent Program - Biostatistics - Intern"/>
    <hyperlink ref="D92" r:id="rId91" display="Marketing Analytics - Data Analyst - July 2027 Start Date - ADP"/>
    <hyperlink ref="D93" r:id="rId92" display="Associate Business Consultant - Life Sciences Analytics (Summer 2027 start)"/>
    <hyperlink ref="D94" r:id="rId93" display="Associate Business Consultant - Life Sciences R&amp;D (Summer 2027 start)"/>
    <hyperlink ref="D95" r:id="rId94" display="Associate Consultant - Entry-Level Technology Consulting (Life Sciences), July 2027 start"/>
    <hyperlink ref="D96" r:id="rId95" display="Associate Consultant (UK) - Entry-Level Technology Consulting (Life Sciences), Generation Veeva"/>
    <hyperlink ref="D97" r:id="rId96" display="Summer 2027 Finance Internship Program - Financial Planning"/>
    <hyperlink ref="D98" r:id="rId97" display="Clinical Research Coordinator I - Immunology and Immunotherapy"/>
    <hyperlink ref="D99" r:id="rId98" display="Clinical Research Coordinator - Population Health Science &amp; Policy"/>
    <hyperlink ref="D100" r:id="rId99" display="Clinical Research Coordinator - Rheumatology"/>
    <hyperlink ref="D101" r:id="rId100" display="Research Coordinator (NYU Grossman School of Medicine)"/>
    <hyperlink ref="D102" r:id="rId101" display="Clinical Research Coordinator I/II"/>
    <hyperlink ref="D103" r:id="rId102" display="Neuromuscular Clinical Research Coordinator Associate"/>
    <hyperlink ref="D104" r:id="rId103" display="Assistant Clinical Research Coordinator"/>
    <hyperlink ref="D105" r:id="rId104" display="Intern - Life Sciences Advisory, Health Segment - Campus 2027"/>
    <hyperlink ref="D106" r:id="rId105" display="Decision Analytics Associate Consultant - Intern (North America - University Students)"/>
    <hyperlink ref="D107" r:id="rId106" display="Life Science Summer Analyst (2027)"/>
    <hyperlink ref="D108" r:id="rId107" display="Equities Analyst Program - New York (UBS research training + Millennium PM placement)"/>
    <hyperlink ref="D109" r:id="rId108" display="Full-Time Analyst (general resume submission, one office)"/>
    <hyperlink ref="D110" r:id="rId109" display="Fundamental Research Analyst Intern (New York) - Summer 2027"/>
    <hyperlink ref="D111" r:id="rId110" display="2027 Investment Banking Full-Time Analyst"/>
    <hyperlink ref="D112" r:id="rId111" display="2027 New Analyst - Global Investment Research / Investment Banking (Americas)"/>
    <hyperlink ref="D113" r:id="rId112" display="Analyst/Associate - Equity Research, Biotech"/>
    <hyperlink ref="D114" r:id="rId113" display="Equity Research Associate - Immuno-Oncology"/>
    <hyperlink ref="D115" r:id="rId114" display="Senior Consultant - Life Sciences Advisory, Health Segment - Campus 2027"/>
    <hyperlink ref="D116" r:id="rId115" display="2027 | EMEA | London | Global Investment Research | Equity Research | Seasonal/Off-Cycle Internship"/>
    <hyperlink ref="D117" r:id="rId116" display="Associate Insights - London, Hybrid"/>
    <hyperlink ref="D118" r:id="rId117" display="2027 Graduate - Consulting Rotational Programme Analyst - London"/>
    <hyperlink ref="D119" r:id="rId118" display="Banking Graduate Programme 2027 - London"/>
    <hyperlink ref="D120" r:id="rId119" display="Investor Relations Analyst"/>
    <hyperlink ref="D121" r:id="rId120" display="2027 | APEJ | Sydney | Global Investment Research | New Analyst"/>
    <hyperlink ref="D122" r:id="rId121" display="2027 Graduate Program, Healthcare Consulting - Sydney"/>
    <hyperlink ref="D123" r:id="rId122" display="Undergrad Intern - U.S. Value &amp; Access (Summer 2027)"/>
    <hyperlink ref="D124" r:id="rId123" display="Undergrad Intern - Digital Product - Technology &amp; Medical Organizations (Summer 2027)"/>
    <hyperlink ref="D125" r:id="rId124" display="Grad Intern - Data Scientist - Technology, AI &amp; Data (Summer 2027)"/>
    <hyperlink ref="D126" r:id="rId125" display="Undergrad Intern - Finance (Summer 2027)"/>
    <hyperlink ref="D127" r:id="rId126" display="2027 Summer Intern, Artificial Intelligence Product Management"/>
    <hyperlink ref="D128" r:id="rId127" display="Product Management Intern - Summer 2027"/>
    <hyperlink ref="D129" r:id="rId128" display="Summer 2027 Population Health Analytics Graduate Intern"/>
    <hyperlink ref="D130" r:id="rId129" display="Summer 2027 Data Science R&amp;D Graduate Intern"/>
    <hyperlink ref="D131" r:id="rId130" display="Clinical Pharmacology and Pharmacometrics Intern – Summer 2027"/>
    <hyperlink ref="D132" r:id="rId131" display="Global Operations Leadership Development Program (GOLD) – Class of 2027"/>
    <hyperlink ref="D133" r:id="rId132" display="2027 Future Talent Program – Marketing Strategy &amp; Project Management Co-op"/>
    <hyperlink ref="D134" r:id="rId133" display="2027 Future Talent Program – Pharmacovigilance Operations / Global Process Enablement Intern"/>
    <hyperlink ref="D135" r:id="rId134" display="Undergrad Intern – Business Development (Summer 2027)"/>
    <hyperlink ref="D136" r:id="rId135" display="Intern, Biometrics (Summer 2027)"/>
    <hyperlink ref="D137" r:id="rId136" display="2027 Summer Internship – Business Insights &amp; Analytics (Data Scientist / Data Engineering)"/>
    <hyperlink ref="D138" r:id="rId137" display="Undergraduate Summer Internships – Frederick, MD (incl. Data Science track)"/>
    <hyperlink ref="D139" r:id="rId138" display="Summer 2027 Internship – Regulatory Affairs (California)"/>
    <hyperlink ref="D140" r:id="rId139" display="Anthropic Fellows Program, The Anthropic Institute (Economics &amp; Policy)"/>
    <hyperlink ref="D141" r:id="rId140" display="Associate Product Manager, New Grad (2027 Start)"/>
    <hyperlink ref="D142" r:id="rId141" display="Product Manager: New Grad Accelerator"/>
    <hyperlink ref="D143" r:id="rId142" display="Associate Product Manager Program (Summer 2027 cohort)"/>
    <hyperlink ref="D144" r:id="rId143" display="Associate Product Manager Intern (Summer 2027, US)"/>
    <hyperlink ref="D145" r:id="rId144" display="Product Manager Intern (Summer 2027)"/>
    <hyperlink ref="D148" r:id="rId145" display="Content &amp; Creator Growth Graduate (TikTok LIVE-AMS) – 2027 Start"/>
    <hyperlink ref="D149" r:id="rId146" display="Creator Partnerships Associate (Graduate)"/>
    <hyperlink ref="D151" r:id="rId147" display="2027 Client and Product Graduate Rotational Program – EMEA"/>
    <hyperlink ref="D152" r:id="rId148" display="2027 Private Equity Infrastructure &amp; Real Assets Summer Analyst"/>
    <hyperlink ref="D153" r:id="rId149" display="2027 Real Estate Investments Summer Analyst"/>
    <hyperlink ref="D154" r:id="rId150" display="2027 Analyst (two-year growth equity analyst program)"/>
    <hyperlink ref="D155" r:id="rId151" display="Investment Analyst (2027)"/>
    <hyperlink ref="D156" r:id="rId152" display="Venture Capital Summer Analyst (Summer 2027)"/>
    <hyperlink ref="D157" r:id="rId153" display="2027 Summer Investment Internship"/>
    <hyperlink ref="D158" r:id="rId154" display="2027 Summer Analyst Internship Program"/>
    <hyperlink ref="D159" r:id="rId155" display="Institutional Client Group Summer Internship (2027)"/>
    <hyperlink ref="D160" r:id="rId156" display="Almanac Realty Group Summer 2027 Internship"/>
    <hyperlink ref="D161" r:id="rId157" display="Blackstone Life Sciences, Analyst"/>
    <hyperlink ref="D162" r:id="rId158" display="Private Equity Investment Team 2027 Summer Analyst (Rising Senior, Class of 2028)"/>
    <hyperlink ref="D163" r:id="rId159" display="2027 Summer Analyst (Class of 2028 posting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2026-10-28T02:50:47Z</dcterms:created>
  <dc:creator>openpyxl</dc:creator>
  <dc:description/>
  <dc:language>en-US</dc:language>
  <cp:lastModifiedBy/>
  <dcterms:modified xsi:type="dcterms:W3CDTF">2026-10-28T02:50:47Z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